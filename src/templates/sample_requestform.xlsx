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G" sheetId="1" r:id="rId5"/>
    <sheet state="visible" name="เกณฑ์คะแนน" sheetId="2" r:id="rId6"/>
    <sheet state="hidden" name="Setting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อธิบายเหตุผลความจำเป็น
.......................................................
เช่น ครุภัณฑ์ใหม่นี้ถูกนำไปใช้ในภารกิจ/โครงการ............................... ซึ่งเป็นภารกิจที่เพิ่มขึ้นใหม่ หรือเป็นภารกิจเดิมที่ขยายขอบเขต</t>
      </text>
    </comment>
    <comment authorId="0" ref="C29">
      <text>
        <t xml:space="preserve">ระบุสภาพที่เป็นอยู่ ........................
เช่น มีความเสื่อมสภาพตามอายุการใช้งาน มีความชำรุด/เสียหาย ไม่สามารถจัดหาอะไหร่เปลี่ยน/ซ่อมได้ เนื่องจากมีค่าใช้จ่ายที่ค่อนข้างสูงหรือ
ไม่สามารถจะหาอะไหล่ได้ เนื่องจากบริษัทยกเลิกการผลิตอะไหล่ดังกล่าว</t>
      </text>
    </comment>
    <comment authorId="0" ref="D30">
      <text>
        <t xml:space="preserve">ระบุประวัติการซ่อมบำรุงย้อนหลัง .......................................................
เช่น มีการซ่อมบำรุงส่วนต่าง ๆ /ครั้งใหญ่ เมื่อช่วงปีพ.ศ. ..........................
ระบุเหตุผล เปรียบเทียบค่าซ่อมแซมสูงเพียงใดเมื่อเทียบกับราคาจัดหาใหม่ .......................................................
เช่น ค่าซ่อมบำรุงต่อครั้ง x จำนวนครั้งที่คาดการณ์ 10,000 x 2 = 20,000 
มูลค่าที่จัดหาใหม่ 50,000 
จากการเปรียบเทียบพบว่าการซื้อใหม่ 50,000 คุ้มค่ากว่า เนื่องจากตามอายุการใช้งานครุภัณฑ์ จะต้องแทงจำหน่ายอีก 2 ปีข้างหน้า การซ่อมแซม ใช้งบประมาณ 20,000 ไม่คุ้มค่า และไม่ได้รับเทคโนโลยีใหม่</t>
      </text>
    </comment>
    <comment authorId="0" ref="C27">
      <text>
        <t xml:space="preserve">ระบุทะเบียนหมายเลขครุภัณฑ์เดิม ...........................................................
และจำนวนครุภัณฑ์เดิมคงเหลือทั้งสิ้น จำนวน ......... หน่วย </t>
      </text>
    </comment>
    <comment authorId="0" ref="C24">
      <text>
        <t xml:space="preserve">ระบุปัญหาและผลกระทบต่อการผลิตบัณฑิตหรือการดำเนินงานของส่วนงาน/หน่วยงาน หากไม่จัดหาหรือไม่ได้รับการจัดสรรครุภัณฑ์ดังกล่าว</t>
      </text>
    </comment>
    <comment authorId="0" ref="C23">
      <text>
        <t xml:space="preserve">1. นักศึกษาระดับปริญญาตรี 
จำนวนรวม ......... คน/ปีการศึกษา
2. นักศึกษาระดับบัณฑิตศึกษา 
จำนวนรวม ......... คน/ปีการศึกษา
3. นักศึกษาหลักสูตร...................
จากต่างคณะ 
จำนวนรวม ......... คน/ปีการศึกษา
4.ผู้ใช้บริการรักษาพยาบาล จำนวนประมาณ......... คน/วัน</t>
      </text>
    </comment>
    <comment authorId="0" ref="C21">
      <text>
        <t xml:space="preserve">ระบุสาขาวิชาหลักที่ได้รับประโยชน์จากการมีครุภัณฑ์ดังกล่าว</t>
      </text>
    </comment>
    <comment authorId="0" ref="C20">
      <text>
        <t xml:space="preserve">ระบุชื่ออาคารที่รองรับ ...........................        และสาขาวิชาที่รับผิดชอบ .....................</t>
      </text>
    </comment>
    <comment authorId="0" ref="C19">
      <text>
        <t xml:space="preserve">อธิบายการใช้ประโยชน์เครื่องมือ
ชื่อครุภัณฑ์ .....................................
เป็นเครื่องมือใช้สำหรับการ ...............
(ตัวอย่าง เช่น วิเคราะห์ความละเอียดของสารเพื่อหาค่าวิเคราะห์ความเข้มข้นของเลือดเป็นเครื่องมือพื้นฐานสำหรับนักศึกษาโดยเฉพาะสาขาเทคนิคการแพทย์, พยาบาลศาสตร์, หรือวิทยาศาสตร์สุขภาพอื่นๆ ,
การใช้เครื่องฯ ในห้องปฏิบัติการ (Lab) จะเป็นกระบวนการเรียนรู้ที่ครอบคลุมตั้งแต่ทฤษฎีไปจนถึงการปฏิบัติ )</t>
      </text>
    </comment>
    <comment authorId="0" ref="B80">
      <text>
        <t xml:space="preserve">ชื่อครุภัณฑ์ .......... ประกอบด้วยอุปกรณ์ประกอบดังนี้
1. ..................... จำนวน ..... หน่วย
2. ..................... จำนวน ..... หน่วย 
3. ..................... จำนวน ..... หน่วย
4. ..................... จำนวน ..... หน่วย
5. ..................... จำนวน ..... หน่วย</t>
      </text>
    </comment>
    <comment authorId="0" ref="B78">
      <text>
        <t xml:space="preserve">ชื่อครุภัณฑ์ ..................................... เป็นเครื่องมือใช้สำหรับการ................
เช่น 
1) ระบบให้แสงสว่าง
  (1) แสงสว่างที่ได้ปราศจากความร้อน
  (2) ให้ความเข้มแสงที่ระยะโฟกัสไม่ต่ำกว่า 13,000 และไม่เกิน 28,000 ลักซ์ (Lux: lx)
  (3) ระยะโฟกัสที่ปฏิบัติงานไม่น้อยกว่า 50 เซนติเมตร
  (4) Color Temperature อยู่ระหว่าง 3,600 - 6,500 เคลวิน (K)
  (5) สามารถปรับระดับความเข้มของแสงได้
  (6) Flexible Arm สำหรับยึดโคมไฟ ทำด้วยวัสดุไม่เป็นสนิม
สามารถปรับระดับโคมไฟได้สะดวกทั้งแนวดิ่งและแนวระนาบ
2) ระบบเครื่องกรอฟัน
  (1) เครื่องกำเนิดอากาศอัด (Air Compressor)
- เป็นระบบที่ไม่ใช้น้ำมันหล่อลื่น
- กำลังของมอเตอร์ไม่น้อยกว่า 1 แรงม้า
- จำนวนรอบการหมุนของมอเตอร์ไม่เกิน 1,500 รอบต่อนาที
- สามารถผลิตปริมาณอากาศอัด ที่ 5 บาร์
ได้ไม่น้อยกว่า 70 ลิตรต่อนาที
- มีระบบป้องกันมอเตอร์ชำรุด เมื่อเกิดภาวะผิดปกติ
- ถังเก็บอากาศอัดภายในเคลือบกันสนิม ขนาดไม่น้อยกว่า 20 ลิตร
พร้อม Safety Valve และมาตรวัดแสดงแรงตันอากาศอัด
ที่เก็บอยู่ในถังและมีวาล์วเปิดปล่อยอากาศอัดและน้ำทิ้ง
ติดตั้งใช้งานได้อย่างสะดวก
- มีสวิตช์อัตโนมัติควบคุมการทำงานของมอเตอร์ ให้แรงดัน
อากาศอัดในถังอยู่ในพิกัด โดยช่วง Cut-In มีแรงดันอากาศอัด
ไม่ต่ำกว่า 5 บาร์
- ชุดปรับปรุงคุณภาพอากาศอัด ต้องติดตั้งในห้องติดตั้งยูนิตทำฟัน
โดยชุดปรับปรุงคุณภาพอากาศอัด ต้องมีองค์ประกอบและ
การติดตั้งเรียงลำดับ ก่อนเข้ายูนิตทำฟัน ดังนี้
     ขจัดน้ำที่เกิดจากการควบแน่นภายในอากาศอัดด้วย
Water Separator ชนิด Auto-drained ที่มี Differential Pressure Indicator จำนวน 1 ตัว
     กรองอนุภาคที่แขวนลอยในอากาศอัดให้มีขนาดไม่เกิน 5 ไมครอน ด้วย Air Filter พร้อม Metal Guard หรืออุปกรณ์ที่มีประสิทธิภาพเทียบเท่า จำนวน 1 ตัว
     กรองอนุภาคที่แขวนลอยในอากาศอัดให้มีขนาดไม่เกิน 1 ไมครอน ด้วย Mist Separator with Differential Pressure Indicator พร้อม Metal Guard หรืออุปกรณ์ที่มีประสิทธิภาพเทียบเท่า จำนวน 1 ตัว เป็นต้น</t>
      </text>
    </comment>
    <comment authorId="0" ref="C13">
      <text>
        <t xml:space="preserve">โดยพิจารณาให้ความสำคัญกับครุภัณ์การศึกษา วิทยาศาสตร์ และการแพทย์เป็นลำดับแรก
1. "ครุภัณฑ์การศึกษา" หมายถึง โต๊ะนักเรียน หุ่นจำลอง
2. "ครุภัณฑ์วิทยาศาสตร์" หมายถึง เครื่องวัดอุณหภูมิ
3. "ครุภัณฑ์การแพทย์" หมายถึง เครื่องเอกซเรย์ เครื่องกรอฟัน เครื่องช่วยหายใจ ตู้อบเด็ก เครื่องชั่งน้ำหนัก เครื่องกรองแสง
4. "ครุภัณฑ์คอมพิวเตอร์" หมายถึง เครื่องคอมพิวเตอร์ เครื่องพิมพ์ สแกนเนอร์ เครื่องสำรองไฟ เครื่องคอมพิวเตอร์โน๊ตบุ๊ค
5. "ครุภัณฑ์ไฟฟ้าและวิทยุ" 
หมายถึง เครื่องรับส่งวิทยุ เครื่องกำเนิดไฟฟ้า ไมโครโฟน เครื่องขยายเสียง เครื่องบันทึกเสียง ลำโพงขยายเสียงแบบติดตั้งในตัว
6. "ครุภัณฑ์ดนตรี/นาฏศิลป์" หมายถึง เครื่องดนตรีต่าง ๆ เครื่องแต่งกายชุดแสดง
7. "ครุภัณฑ์สำนักงาน" 
หมายถึง โต๊ะ เก้าอี้ ตู้ เครื่องโทรศัพท์ เครื่องโทรสาร เครื่องพิมพ์เขียว เครื่องฟอกอากาศ เครื่องนับธนบัตร
8. "ครุภัณฑ์ยานพาหนะและขนส่ง" หมายถึง รถยนต์ รถจักรยานยนต์ รถโดยสาร
9. "ครุภัณฑ์โฆษณาและเผยแพร่" หมายถึง โทรทัศน์ จอภาพ เครื่องมัลติมีเดียโปรเจคเตอร์
10. "ครุภัณฑ์การเกษตร - เครื่องมืออุปกรณ์" หมายถึง เครื่องพ่นยา เครื่องสูบน้ำ เครื่องชั่ง
11. "ครุภัณฑ์การเกษตร - เครื่่องจักรกล" หมายถึง รถไถ รถแทรกเตอร์ เครื่องสีข้าว 
12. "ครุภัณฑ์ก่อสร้าง - เครื่องมืออุปกรณ์" หมายถึง ท่อจ่ายน้ำ สว่านเจาะเหล็ก
13. "ครุภัณฑ์ก่อสร้าง - เครื่่องจักรกล" หมายถึง รถตักดิน เครื่องกลึง
14. "ครุภัณฑ์โรงงาน" หมายถึง กรณีเครื่องมือและอุปกรณ์ ประกอบด้วย ถังเก็บเชื้อเพลิง หัวเชื่อมแก๊ส เลื่อย กรณีเครื่องจักร ประกอบด้วย เครื่องพิมพ์ลาย เครื่องตีตราและอัดแบบ
15. "ครุภัณฑ์สำรวจ" หมายถึง กล้องส่องทางไกล เครื่องเจาะสำรวจ กล้องสำรวจ กล้องระดับ
16. "ครุภัณฑ์งานบ้านงานครัว" หมายถึง ตู้เย็น เตาแก๊ส เครื่องซักผ้า
17. "ครุภัณฑ์กีฬา/กายภาพ" หมายถึง จักรยานออกกำลังกาย เหล็กยกน้ำหนัก บาร์คู่
18. "ครุภัณฑ์อาวุธ" หมายถึง ปืน ปืนลูกซอง ปืนพก
19. "ครุภัณฑ์สนาม" หมายถึง เต้นท์ ถุงนอน
20. "ครุภัณฑ์อื่น" หมายถึง ครุภัณฑ์รายการอื่นที่นอกเหนือจากที่กล่าวข้างต้น</t>
      </text>
    </comment>
    <comment authorId="0" ref="B76">
      <text>
        <t xml:space="preserve">"คุณลักษณะทั่วไป" 
หมายถึง สภาพหรือลักษณะที่พบเห็นได้ทั่วไป หรือลักษณะเฉพาะที่ใช้บ่งบอกถึงสิ่งใดสิ่งหนึ่ง
เช่น ยูนิตทำฟัน
1) ประกอบด้วย ระบบให้แสงสว่าง ระบบเครื่องกรอฟัน ระบบควบคุม
ระบบดูดน้ำลาย ระบบน้ำบ้วนปาก และเก้าอี้คนไข้
2) ยูนิตมีจุดต่อ Coupling น้ำ สำหรับเครื่องขูดหินปูน พร้อมปุ่มปรับ
ปริมาณน้ำและมีหัวต่อแบบ Non-return Valve สำหรับเสียบท่อน้ำได้
3) มีที่ดูฟิล์มเอกซเรย์ ในตำแหน่งที่ผู้ให้การรักษาสามารถดูได้สะดวก
และชัดเจน
4) ใช้กับไฟฟ้ากระแสสลับ 220 โวลต์ 50 เฮิรตซ์ และลดแรงดันไฟฟ้า
ให้ไม่เกิน 50 โวลต์ ยกเว้นส่วนที่ใช้จ่ายพลังให้กับมอเตอร์ต้นกำลัง</t>
      </text>
    </comment>
    <comment authorId="0" ref="C12">
      <text>
        <t xml:space="preserve">1. "ครุภัณฑ์ทดแทน" 
หมายถึง ครุภัณฑ์ที่จัดหาเพื่อทดแทนครุภัณฑ์เดิมที่เสื่อมสภาพ โดยครุภัณฑ์เดิมจะต้องมีอายุการใช้งานเกิน 7-10 ปีขึ้นไป และไม่สามารถใช้งานได้อย่างมีประสิทธิภาพ หรือมีค่าใช้จ่ายในการซ่อมบำรุงสูง
2. "ครุภัณฑ์ใหม่" 
หมายถึง ครุภัณฑ์ที่ส่วนงาน/หน่วยงานไม่เคยมีการขอตั้งงบประมาณมาก่อน ไม่เคยดำเนินการจัดหา
มาก่อน ซึ่งจำเป็นต้องมีแผนการดำเนินงานของส่วนงาน/หน่วยงานที่ชัดเจน เพื่อรองรับการปฏิบัติงานใหม่ ภารกิจใหม่ หรือผลผลิตใหม่
3. "ครุภัณฑ์เพิ่มประสิทธิภาพ" 
หมายถึง ครุภัณฑ์ประเภทเดียวกันกับที่ส่วนงาน/หน่วยงานเคยมีอยู่แล้ว แต่จำเป็นต้องจัดหาเพิ่มเติม เพื่อเพิ่มปริมาณเป้าหมายผลผลิต รองรับภารกิจใหม่ หรือเพิ่มขีดความสามารถในการปฏิบัติงานให้สูงขึ้น
4. "ครุภัณฑ์ประจำอาคาร" 
หมายถึง ครุภัณฑ์ที่จำเป็นต้องจัดหาสำหรับการใช้งานในอาคารที่สร้างขึ้นใหม่ ซึ่งต้องจัดหา
ให้ครบถ้วนก่อนที่อาคารจะสามารถเปิดใช้งานอย่างสมบูรณ์ โดยจำกัดเฉพาะอาคารที่ก่อสร้างแล้วเสร็จในปีงบประมาณนั้น หรือคาดว่าจะแล้วเสร็จในปีงบประมาณนั้นเท่านั้น
</t>
      </text>
    </comment>
    <comment authorId="0" ref="C72">
      <text>
        <t xml:space="preserve">ดับเบิ้ลคลิกเลือกข้อมูลแล้วเปลี่ยน เป็น พ.ศ.</t>
      </text>
    </comment>
    <comment authorId="0" ref="C39">
      <text>
        <t xml:space="preserve">อธิบายเหตุผลความจำเป็น
.......................................................				
เช่น เนื่องจากมีการเปิดใช้อาคารเรียน/ปฏิบัติการใหม่ จำเป็นต้องมีเครื่องมือเพื่อรองรับการให้บริการต่อจำนวนนักศึกษา/ผู้มาใช้บริการที่เพิ่มขึ้น</t>
      </text>
    </comment>
    <comment authorId="0" ref="C71">
      <text>
        <t xml:space="preserve">ดับเบิ้ลคลิกเลือกข้อมูลแล้วเปลี่ยน เป็น พ.ศ.</t>
      </text>
    </comment>
    <comment authorId="0" ref="C38">
      <text>
        <t xml:space="preserve">ระบุช่วงเดือนและปี พ.ศ. ที่เปิดใช้งานอาคาร</t>
      </text>
    </comment>
    <comment authorId="0" ref="C70">
      <text>
        <t xml:space="preserve">ดับเบิ้ลคลิกเลือกข้อมูลแล้วเปลี่ยน เป็น พ.ศ.</t>
      </text>
    </comment>
    <comment authorId="0" ref="C36">
      <text>
        <t xml:space="preserve">อธิบายเหตุผลความจำเป็น
.......................................................
เช่น ครุภัณฑ์เดิมที่มีอยู่ไม่เพียงพอต่อการใช้งาน ปริมาณงานหรือจำนวนบุคลากรเพิ่มขึ้น ครุภัณฑ์ที่มีอยู่ไม่เพียงพอต่อการปฏิบัติงาน ,ครุภัณฑ์เดิมไม่เป็นไปตามมาตรฐานความปลอดภัย หรือไม่สอดคล้องกับกฎหมาย/ข้อบังคับใหม่,ครุภัณฑ์เดิมตกรุ่นล้าสมัยไม่รองรับการทำงานในการใช้งานฝึกปฏิบัติ/ประกอบการเรียนการสอนนักศึกษา</t>
      </text>
    </comment>
  </commentList>
</comments>
</file>

<file path=xl/sharedStrings.xml><?xml version="1.0" encoding="utf-8"?>
<sst xmlns="http://schemas.openxmlformats.org/spreadsheetml/2006/main" count="198" uniqueCount="175">
  <si>
    <t>หัวข้อ</t>
  </si>
  <si>
    <t>1g8yk5DRv0sO7hRC747kyOH29NEcyR7vbwtta1DTkgxo</t>
  </si>
  <si>
    <t>เซลล์</t>
  </si>
  <si>
    <t>Score</t>
  </si>
  <si>
    <t>คะแนนรวม</t>
  </si>
  <si>
    <t>48 / 50</t>
  </si>
  <si>
    <t>ข้อมูลพื้นฐาน</t>
  </si>
  <si>
    <t>สถานะภาพรวม</t>
  </si>
  <si>
    <t>⚠️ เกือบสมบูรณ์ รบกวนกรอกข้อมูลให้ครบทุกจุดนะคะ</t>
  </si>
  <si>
    <t>(อัปเดตล่าสุด)</t>
  </si>
  <si>
    <t>ส่วนงาน/หน่วยงาน</t>
  </si>
  <si>
    <t>------------------</t>
  </si>
  <si>
    <t>--- [1] ข้อมูลพื้นฐาน ---</t>
  </si>
  <si>
    <t>✅ C5: มีข้อมูล</t>
  </si>
  <si>
    <t>✅ C6: มีข้อมูล</t>
  </si>
  <si>
    <t>✅ C9: มีข้อมูล</t>
  </si>
  <si>
    <t>✅ C10: มีข้อมูล</t>
  </si>
  <si>
    <t>✅ C11: มีข้อมูล</t>
  </si>
  <si>
    <t>✅ C12: มีข้อมูล</t>
  </si>
  <si>
    <t>✅ C13: มีข้อมูล</t>
  </si>
  <si>
    <t>✅ C14: มีข้อมูล</t>
  </si>
  <si>
    <t>✅ C15: มีข้อมูล</t>
  </si>
  <si>
    <t>✅ C16: มีข้อมูล</t>
  </si>
  <si>
    <t>✅ C7: เป็นตัวเลขและไม่เท่ากับ 0</t>
  </si>
  <si>
    <t>✅ H7: เป็นตัวเลขและไม่เท่ากับ 0</t>
  </si>
  <si>
    <t>✅ C8: เป็นตัวเลขจำนวนเต็ม</t>
  </si>
  <si>
    <t>--- [2] เหตุผลความจำเป็น ---</t>
  </si>
  <si>
    <t>✅ C19: มีการกรอกข้อมูล</t>
  </si>
  <si>
    <t>✅ C20: มีการกรอกข้อมูล</t>
  </si>
  <si>
    <t>✅ C21: มีการกรอกข้อมูล</t>
  </si>
  <si>
    <t>✅ C22: มีการกรอกข้อมูล</t>
  </si>
  <si>
    <t>❌ C23: ว่างเปล่า หรือยังเป็นข้อความตั้งต้น</t>
  </si>
  <si>
    <t>✅ C24: มีการกรอกข้อมูล</t>
  </si>
  <si>
    <t>--- [3] เอกสารประกอบ ---</t>
  </si>
  <si>
    <t>02000 : คณะวิทยาศาสตร์</t>
  </si>
  <si>
    <t>✅ D42: เป็น URL ที่ถูกต้อง</t>
  </si>
  <si>
    <t>✅ D44: เป็น URL ที่ถูกต้อง</t>
  </si>
  <si>
    <t>✅ D46: เป็น URL ที่ถูกต้อง</t>
  </si>
  <si>
    <t>❌ D48: ไม่ใช่รูปแบบ URL หรือเป็นคำว่า "URL"</t>
  </si>
  <si>
    <t>--- [4] ราคาค่าครุภัณฑ์และราคามาตรฐาน ---</t>
  </si>
  <si>
    <t>✅ C51/C53: เลือกเพียง 1 รายการ</t>
  </si>
  <si>
    <t>--- [5] การเทียบเคียง (ใบเสนอราคา) ---</t>
  </si>
  <si>
    <t>✅ C57: มีข้อมูล</t>
  </si>
  <si>
    <t>✅ C58: มีข้อมูล</t>
  </si>
  <si>
    <t>✅ C59: มีข้อมูล</t>
  </si>
  <si>
    <t>✅ H57: เป็นตัวเลขจำนวนเต็ม</t>
  </si>
  <si>
    <t>รายการ</t>
  </si>
  <si>
    <t>✅ H58: เป็นตัวเลขจำนวนเต็ม</t>
  </si>
  <si>
    <t>✅ H59: เป็นตัวเลขจำนวนเต็ม</t>
  </si>
  <si>
    <t>✅ C59: เลือก TRUE</t>
  </si>
  <si>
    <t>เครื่องมือวิเคราะห์ปริมาณธาตุแบบอินดัคทีพลีคัพเพิลพลาสมา แมสสเปคโทรมิเตอร์</t>
  </si>
  <si>
    <t>--- [6] การเทียบเคียง (ราคากลางฯ) ---</t>
  </si>
  <si>
    <t>✅ C64: มีข้อมูล</t>
  </si>
  <si>
    <t>✅ E64: มีข้อมูล</t>
  </si>
  <si>
    <t>✅ I64: มีข้อมูล</t>
  </si>
  <si>
    <t>✅ C65: มีข้อมูล</t>
  </si>
  <si>
    <t>จำนวน</t>
  </si>
  <si>
    <t>✅ E65: มีข้อมูล</t>
  </si>
  <si>
    <t>✅ I65: มีข้อมูล</t>
  </si>
  <si>
    <t>✅ C66: มีข้อมูล</t>
  </si>
  <si>
    <t>✅ E66: มีข้อมูล</t>
  </si>
  <si>
    <t>✅ I66: มีข้อมูล</t>
  </si>
  <si>
    <t>✅ H64: เป็นตัวเลขจำนวนเต็ม</t>
  </si>
  <si>
    <t>ชุด</t>
  </si>
  <si>
    <t>✅ H65: เป็นตัวเลขจำนวนเต็ม</t>
  </si>
  <si>
    <t>✅ H66: เป็นตัวเลขจำนวนเต็ม</t>
  </si>
  <si>
    <t>✅ C67: เลือก TRUE</t>
  </si>
  <si>
    <t>ราคาต่อหน่วย (บาท)</t>
  </si>
  <si>
    <t>--- [7] ความพร้อมในการดำเนินการ ---</t>
  </si>
  <si>
    <t>✅ C70: เป็นข้อมูลวันที่</t>
  </si>
  <si>
    <t>✅ C71: เป็นข้อมูลวันที่</t>
  </si>
  <si>
    <t>✅ C72: เป็นข้อมูลวันที่</t>
  </si>
  <si>
    <t>--- [8] คำชี้แจงรายละเอียด ---</t>
  </si>
  <si>
    <t>✅ B76: มีการกรอกข้อมูล</t>
  </si>
  <si>
    <t>✅ B78: มีการกรอกข้อมูล</t>
  </si>
  <si>
    <t>✅ B80: มีการกรอกข้อมูล</t>
  </si>
  <si>
    <t>งบประมาณ (บาท)</t>
  </si>
  <si>
    <t>แผนงาน</t>
  </si>
  <si>
    <t>2199 : แผนงานจัดการศึกษาด้านวิทยาศาสตร์และเทคโนโลยี</t>
  </si>
  <si>
    <t>แผนงานย่อย</t>
  </si>
  <si>
    <t>002101 : จัดการเรียนการสอนด้านวิทยาศาสตร์และเทคโนโลยี</t>
  </si>
  <si>
    <t>โครงการ/กิจกรรม</t>
  </si>
  <si>
    <t>101101 : การเรียนการสอน</t>
  </si>
  <si>
    <t>วัตถุประสงค์ครุภัณฑ์</t>
  </si>
  <si>
    <t>ครุภัณฑ์ใหม่</t>
  </si>
  <si>
    <t>ประเภทครุภัณฑ์</t>
  </si>
  <si>
    <t>ครุภัณฑ์วิทยาศาสตร์</t>
  </si>
  <si>
    <t>ประเภทการจัดหาครุภัณฑ์</t>
  </si>
  <si>
    <t>ครุภัณฑ์นำเข้าจากต่างประเทศ</t>
  </si>
  <si>
    <t>First S-curve และ new S-curve</t>
  </si>
  <si>
    <t xml:space="preserve"> 12 -  อุตสาหกรรมพัฒนาคนและการศึกษา  (New S-curve) </t>
  </si>
  <si>
    <t>เป้าหมายการพัฒนาที่ยั่งยืน 
(SDGs)</t>
  </si>
  <si>
    <t xml:space="preserve">SDG04 : สร้างหลักประกันว่าทุกคนมีการศึกษา ที่มีคุณภาพอย่างครอบคลุมและเท่าเทียม และสนับสนุนโอกาสในการเรียนรู้ตลอดชีวิต   
SDG0404 :เพิ่มจ่านวนเยาวชนและผู้ใหญ่ที่มีทักษะที่เกี่ยวข้องจ่าเป็น รวมถึงทักษะทางเทคนิคและอาชีพส่าหรับการจ้างงาน การมีงานที่มีคุณค่า และการเป็นผู้ประกอบการ ภายในปี พ.ศ. 2573    </t>
  </si>
  <si>
    <t>เหตุผลความจำเป็น</t>
  </si>
  <si>
    <t>1. รายละเอียดครุภัณฑ์</t>
  </si>
  <si>
    <t xml:space="preserve">เครื่องมือวิเคราะห์ปริมาณธาตุแบบอินดัคทีพลีคัพเพิลพลาสมา แมสสเปคโทรมิเตอร์ ใช้สำหรับวิเคราะห์หาชนิดและปริมาณธาตุในสารตัวอย่างที่ผ่านการเตรียมเป็นสารละลายแล้ว โดยมุ่งเน้นสำหรับธาตุที่มีปริมาณน้อย ๆ ในระดับส่วนในพันล้านส่วน (ppb) โดยสามารถวิเคราะห์ธาตุได้มากกว่า 70 ธาตุพร้อมกันในครั้งเดียว เหมาะสำหรับวิเคราะห์ตัวอย่างประเภทน้ำ ดิน อาหาร สมุนไพร สิ่งแวดล้อม และวัสดุชีวภาพ                                                </t>
  </si>
  <si>
    <t>2. สถานที่ติดตั้ง/รองรับ</t>
  </si>
  <si>
    <t>ห้องเครื่องมือกลาง คณะวิทยาศาสตร์ อาคาร SC.01</t>
  </si>
  <si>
    <t>3. สาขาที่เกี่ยวข้อง</t>
  </si>
  <si>
    <t>ด้านวิทยาศาสตร์สิ่งแวดล้อม เคมี ชีววิทยา จุลชีววิทยา ชีวเคมี ฟิสิกส์ นิติวิทยาศาสตร์ วิศวกรรมศาสตร์ เกษตรศาสตร์ เทคโนโลยี เภสัชศาสตร์</t>
  </si>
  <si>
    <t>4. หลักสูตรตามเป้าหมายอุดมศึกษา</t>
  </si>
  <si>
    <t>ด้านเซมิคอนดักเตอร์ (Semiconductor)</t>
  </si>
  <si>
    <t>5. จำนวนผู้ใช้งาน</t>
  </si>
  <si>
    <t>6. ปัญหา/ผลกระทบหากไม่จัดหา</t>
  </si>
  <si>
    <t xml:space="preserve">เครื่องมือวิเคราะห์ปริมาณธาตุแบบอินดัคทีพลีคัพเพิลพลาสมา แมสสเปคโทรมิเตอร์ เป็นครุภัณฑ์ใหม่ที่ยังไม่เคยมีให้บริการในมหาวิทยาลัยขอนแก่น ซึ่งเป็นเครื่องมือที่ใช้สำหรับวิเคราะห์ชนิดและปริมาณของธาตุหลายชนิดพร้อมกัน สามารถตรวจวัดได้ที่ความเข้มข้นต่ำ และระบุ species ของธาตุได้ มีความจำเป็นสำหรับการเรียนการสอนของหลายคณะ ทั้งระดับปริญญาตรี- โท-เอก ได้แก่ หลักสูตรด้านวิทยาศาสตร์สิ่งแวดล้อม เคมี ชีววิทยา จุลชีววิทยา ชีวเคมี ฟิสิกส์ นิติวิทยาศาสตร์ วิศวกรรมศาสตร์ เกษตรศาสตร์ เทคโนโลยี เภสัชศาสตร์ ฯลฯ  ซึ่งต้องใช้เทคนิคการวิเคราะห์ที่ทันสมัยและมีความละเอียดสูง เพื่อให้นักศึกษาเข้าใจหลักการทำงานของเครื่องมือและกระบวนการวิเคราะห์เชิงปริมาณของธาตุในตัวอย่างจริง การจัดซื้อเครื่อง ICP-MS จะช่วยยกระดับคุณภาพของการเรียนการสอนให้มีความสมบูรณ์และสอดคล้องกับมาตรฐานสากลการจัดการเรียนการสอน และการฝึกปฏิบัติงานของนักศึกษาเพื่อผลิตบัณฑิตให้สอดรับกับความต้องการของประเทศ                                                </t>
  </si>
  <si>
    <t>ครุภัณฑ์ทดแทน</t>
  </si>
  <si>
    <t>กรณีครุภัณฑ์ทดแทน</t>
  </si>
  <si>
    <t>ทะเบียนหมายเลขครุภัณฑ์</t>
  </si>
  <si>
    <t>มีอายุการใช้งานมาแล้ว</t>
  </si>
  <si>
    <t>ปี</t>
  </si>
  <si>
    <t>สภาพของครุภัณฑ์เดิม</t>
  </si>
  <si>
    <t>ประวัติการซ่อมบำรุงย้อนหลัง</t>
  </si>
  <si>
    <t>กรณีครุภัณฑ์ใหม่</t>
  </si>
  <si>
    <t>ความจำเป็นเร่งด่วน</t>
  </si>
  <si>
    <t>โครงการผลิตบัณฑิตระดับปริญญาตรี โท เอก</t>
  </si>
  <si>
    <t>ครุภัณเพิ่มประสิทธิภาพ</t>
  </si>
  <si>
    <t>กรณีครุภัณฑ์เพิ่มประสิทธิภาพ</t>
  </si>
  <si>
    <t>ครุภัณฑ์ประจำอาคาร</t>
  </si>
  <si>
    <t>กรณีครุภัณฑ์ประจำอาคาร</t>
  </si>
  <si>
    <t>เปิดใช้งานอาคารภายในปี</t>
  </si>
  <si>
    <t>เอกสารประกอบ</t>
  </si>
  <si>
    <r>
      <rPr>
        <rFont val="Arial"/>
        <b/>
        <color rgb="FF3E465A"/>
        <sz val="13.0"/>
      </rPr>
      <t xml:space="preserve">ภาพแสดงครุภัณฑ์
</t>
    </r>
    <r>
      <rPr>
        <rFont val="Arial"/>
        <b val="0"/>
        <color rgb="FF3E465A"/>
        <sz val="11.0"/>
      </rPr>
      <t>(แสดงภาพ เดิม/ใหม่ ในมุมมองเดียวกัน)</t>
    </r>
  </si>
  <si>
    <t>https://sci.kku.ac.th/budgetrequest/storage/1762486274_image.pdf</t>
  </si>
  <si>
    <r>
      <rPr>
        <rFont val="Arial"/>
        <b/>
        <color rgb="FF3E465A"/>
        <sz val="13.0"/>
      </rPr>
      <t xml:space="preserve">คุณลักษณะครุภัณฑ์(สเปค)
</t>
    </r>
    <r>
      <rPr>
        <rFont val="Arial"/>
        <b val="0"/>
        <color rgb="FF3E465A"/>
        <sz val="11.0"/>
      </rPr>
      <t>(เป็น PDF 1 file เท่านั้น)</t>
    </r>
  </si>
  <si>
    <t>https://drive.google.com/file/d/1zgpGKcHHEaOhCOvuOrbDJ4gCqVYar2LJ/view?usp=drive_link</t>
  </si>
  <si>
    <r>
      <rPr>
        <rFont val="Arial"/>
        <b/>
        <color rgb="FF3E465A"/>
        <sz val="13.0"/>
      </rPr>
      <t xml:space="preserve">ใบเสนอราคา
</t>
    </r>
    <r>
      <rPr>
        <rFont val="Arial"/>
        <b val="0"/>
        <color rgb="FF3E465A"/>
        <sz val="11.0"/>
      </rPr>
      <t>(รวมทั้ง 3 บริษัท เป็น PDF 1 file เท่านั้น)</t>
    </r>
  </si>
  <si>
    <t>https://drive.google.com/file/d/1LMG6wjsfPkJoiQazV8KEvF3Kw0EuthN1/view?usp=sharing</t>
  </si>
  <si>
    <r>
      <rPr>
        <rFont val="Arial"/>
        <b/>
        <color rgb="FF3E465A"/>
        <sz val="11.0"/>
      </rPr>
      <t xml:space="preserve">เอกสารแสดงความคุ้มค่าต่อการลงทุน
</t>
    </r>
    <r>
      <rPr>
        <rFont val="Arial"/>
        <b val="0"/>
        <color rgb="FF3E465A"/>
        <sz val="11.0"/>
      </rPr>
      <t>(กรณีราคาต่อหน่วยตั้งแต่ 10 ล้านบาท)</t>
    </r>
  </si>
  <si>
    <t>URL</t>
  </si>
  <si>
    <t>ราคาค่าครุภัณฑ์และราคามาตรฐาน</t>
  </si>
  <si>
    <t>อ้างอิงมาตรฐาน
จากสำนักงบประมาณ</t>
  </si>
  <si>
    <t>ครุภัณฑ์ในมาตรฐาน</t>
  </si>
  <si>
    <t>ชื่อครุภัณฑ์ตามบัญชีฯ</t>
  </si>
  <si>
    <t xml:space="preserve">ครุภัณฑ์นอกมาตรฐาน </t>
  </si>
  <si>
    <t>การเทียบเคียงครุภัณฑ์จากใบเสนอราคา</t>
  </si>
  <si>
    <t>ลำดับ</t>
  </si>
  <si>
    <t>ชื่อบริษัท</t>
  </si>
  <si>
    <t>งบประมาณรวม (บาท)</t>
  </si>
  <si>
    <t>ใบเสนอราคาเจ้าที่ 1</t>
  </si>
  <si>
    <t>บริษัท คลาริตัส จํากัด</t>
  </si>
  <si>
    <t>ใบเสนอราคาเจ้าที่ 2</t>
  </si>
  <si>
    <t>บริษัท เพอร์กินเอลเมอร์ ไซแอนติฟิค (ประเทศไทย) จำกัด</t>
  </si>
  <si>
    <t>ใบเสนอราคาเจ้าที่ 3</t>
  </si>
  <si>
    <t>บริษัท สแควร์อินช์ จำกัด</t>
  </si>
  <si>
    <t>** หมายเหตุ</t>
  </si>
  <si>
    <r>
      <rPr>
        <rFont val="Arial"/>
        <color rgb="FF85200C"/>
        <sz val="10.0"/>
      </rPr>
      <t xml:space="preserve">โปรดตรวจสอบ  </t>
    </r>
    <r>
      <rPr>
        <rFont val="Arial"/>
        <b/>
        <color rgb="FF85200C"/>
        <sz val="10.0"/>
      </rPr>
      <t xml:space="preserve">"งบประมาณทั้งสิ้น รวมภาษีมูลค่าเพิ่ม" </t>
    </r>
    <r>
      <rPr>
        <rFont val="Arial"/>
        <color rgb="FF85200C"/>
        <sz val="10.0"/>
      </rPr>
      <t>ให้ถูกต้อง
และแนบเอกสาร</t>
    </r>
    <r>
      <rPr>
        <rFont val="Arial"/>
        <b/>
        <color rgb="FF85200C"/>
        <sz val="10.0"/>
      </rPr>
      <t>ใบเสนอราคาครบทั้ง 3 บริษัท</t>
    </r>
    <r>
      <rPr>
        <rFont val="Arial"/>
        <color rgb="FF85200C"/>
        <sz val="10.0"/>
      </rPr>
      <t xml:space="preserve"> คู่เทียบราคา ทั้งนี้ </t>
    </r>
    <r>
      <rPr>
        <rFont val="Arial"/>
        <b/>
        <color rgb="FF85200C"/>
        <sz val="10.0"/>
      </rPr>
      <t>วันที่ในใบเสนอราคา ต้องมีอายุไม่เกิน 1 ปี</t>
    </r>
  </si>
  <si>
    <t>การเทียบเคียงครุภัณฑ์กับราคากลางหรือมหาวิทยาลัยอื่น/หน่วยงานอื่น</t>
  </si>
  <si>
    <t>ชื่อรายการ</t>
  </si>
  <si>
    <t>ชื่อมหาวิทยาลัย/หน่วยงานอื่น</t>
  </si>
  <si>
    <t xml:space="preserve">ราคาต่อหน่วย (บาท)        </t>
  </si>
  <si>
    <t>แหล่งข้อมูล (URL)</t>
  </si>
  <si>
    <t>หน่วยงานที่ 1</t>
  </si>
  <si>
    <t>เครื่องไอซีพีแมสสเปคโตรมิเตอร์พร้อมอุปกรณ์ประกอบ (ICP-MS/MS)</t>
  </si>
  <si>
    <t>กองวิจัยพัฒนาปัจจัยการผลิตทางการเกษตร กรมวิชาการเกษตร</t>
  </si>
  <si>
    <t>https://www.doa.go.th/apsrdo/wp-content/uploads/2025/03/%E0%B8%A3%E0%B8%B2%E0%B8%84%E0%B8%B2%E0%B8%81%E0%B8%A5%E0%B8%B2%E0%B8%87-%E0%B8%9A%E0%B8%81.06.pdf</t>
  </si>
  <si>
    <t>หน่วยงานที่ 2</t>
  </si>
  <si>
    <t>ชุดครุภัณฑ์ประกอบภายในไม่เหมือนกัน ไม่สามารถเปรียบเทียบราคาอ้างอิงได้</t>
  </si>
  <si>
    <t>-</t>
  </si>
  <si>
    <t>หน่วยงานที่ 3</t>
  </si>
  <si>
    <r>
      <rPr>
        <rFont val="Arial"/>
        <color rgb="FF85200C"/>
        <sz val="10.0"/>
      </rPr>
      <t>กรณี</t>
    </r>
    <r>
      <rPr>
        <rFont val="Arial"/>
        <b/>
        <color rgb="FF85200C"/>
        <sz val="10.0"/>
      </rPr>
      <t>ชื่อครุภัณฑ์เหมือนกันหรือคล้ายคลึงกัน</t>
    </r>
    <r>
      <rPr>
        <rFont val="Arial"/>
        <color rgb="FF85200C"/>
        <sz val="10.0"/>
      </rPr>
      <t xml:space="preserve"> และตั้งคำของบประมาณค่าครุภัณฑ์ราคาต่อหน่วย  </t>
    </r>
    <r>
      <rPr>
        <rFont val="Arial"/>
        <b/>
        <color rgb="FF85200C"/>
        <sz val="10.0"/>
      </rPr>
      <t>สูงกว่า</t>
    </r>
    <r>
      <rPr>
        <rFont val="Arial"/>
        <color rgb="FF85200C"/>
        <sz val="10.0"/>
      </rPr>
      <t xml:space="preserve">  มหาวิทยาลัยอื่นและหน่วยงานอื่นอย่างมีนัยสำคัญ 
ขอให้ส่วนงาน/หน่วยงาน </t>
    </r>
    <r>
      <rPr>
        <rFont val="Arial"/>
        <b/>
        <color rgb="FF85200C"/>
        <sz val="10.0"/>
      </rPr>
      <t xml:space="preserve">จัดทำคำชี้แจงเหตุผลประกอบ แสดงคุณลักษณะพิเศษ-เฉพาะที่แตกต่างโดยละเอียด  </t>
    </r>
    <r>
      <rPr>
        <rFont val="Arial"/>
        <color rgb="FF85200C"/>
        <sz val="10.0"/>
      </rPr>
      <t xml:space="preserve">
หรือกองยุทธศาสตร์จะติดต่อขอข้อมูลเพิ่มเติมกับส่วนงาน/หน่วยงานโดยตรง
</t>
    </r>
    <r>
      <rPr>
        <rFont val="Arial"/>
        <color rgb="FF0000FF"/>
        <sz val="10.0"/>
      </rPr>
      <t xml:space="preserve">- เครื่องวิเคราะห์ปริมาณธาตุโดยเทคนิคอินดักทีฟคัปเปิลพลาสมาแมสสเปคโตรมิเตอร์เป็นครุภัณฑ์เฉพาะทางเทคนิค คือเป็นเครื่องมือวิเคราะห์ทางเคมีที่ทันสมัยและมีประสิทธิภาพสูงมาก ใช้สำหรับการวิเคราะห์หาปริมาณธาตุ (Elemental Analysis) ทั้งชนิดและปริมาณ (Quality and Quantity) ในตัวอย่าง ได้แก่ โลหะหนัก โลหะเบา อโลหะ และธาตุกึ่งโลหะ ที่มีความเข้มข้นต่ำมากถึงระดับส่วนต่อล้านล้านส่วน  </t>
    </r>
  </si>
  <si>
    <r>
      <rPr>
        <rFont val="Arial"/>
        <b/>
        <color rgb="FFFFFFFF"/>
        <sz val="13.0"/>
      </rPr>
      <t>ความพร้อมในการการดำเนินการ</t>
    </r>
    <r>
      <rPr>
        <rFont val="Arial"/>
        <b val="0"/>
        <color rgb="FFFFFFFF"/>
        <sz val="13.0"/>
      </rPr>
      <t xml:space="preserve"> ( เรื่องการจัดซื้อจัดจ้าง ทำสัญญา ติดตั้ง ) พร้อมจัดซื้อได้ทันทีที่ได้งบประมาณ</t>
    </r>
  </si>
  <si>
    <t>การจัดซื้อจัดจ้าง</t>
  </si>
  <si>
    <t>(ระบุวันเดือนปี)</t>
  </si>
  <si>
    <t>*ต้องลงนามในสัญญาได้ภายในไตรมาส 1 ในเดือนธันวาคม 2569 ปีงบประมาณ 2570</t>
  </si>
  <si>
    <t>การลงนามในสัญญา</t>
  </si>
  <si>
    <t xml:space="preserve">การติดตั้ง/การส่งมอบ </t>
  </si>
  <si>
    <t>คำชี้แจงรายละเอียด</t>
  </si>
  <si>
    <r>
      <rPr>
        <rFont val="Arial"/>
        <b/>
        <color rgb="FF3E465A"/>
        <sz val="13.0"/>
      </rPr>
      <t xml:space="preserve">คุณลักษณะทั่วไป 
</t>
    </r>
    <r>
      <rPr>
        <rFont val="Arial"/>
        <b val="0"/>
        <color rgb="FF3E465A"/>
        <sz val="11.0"/>
      </rPr>
      <t>(รายละเอียดพื้นฐานของครุภัณฑ์ที่เป็นมาตรฐาน เช่น ขนาด น้ำหนัก วัสดุที่ใช้ผลิต สี)</t>
    </r>
  </si>
  <si>
    <t>เครื่องมือวิเคราะห์ชนิดและปริมาณของธาตุแบบอินดัคทีพลีคัพเพิลพลาสมา แมสสเปคโทรมิเตอร์ เป็นเครื่องมือใช้สำหรับการวิเคราะห์หาปริมาณธาตุและโลหะในปริมาณน้อยมาก ในตัวอย่างที่หลากหลาย เช่น สิ่งแวดล้อม อาหาร ชีวภาพ การแพทย์ เภสัชศาสตร์ เซมิคอนดักเตอร์ และอุตสาหกรรมต่างๆ โดยอาศัยหลักการวัดมวลสารที่แตกตัวที่เกิดจาก ICP โดยผ่านการแยกจากส่วนวิเคราะห์มวลแบบ Quadrupole ภายใต้สภาวะสุญญากาศ ซึ่งเป็นครุภัณฑ์ใหม่ที่ช่วยเพิ่มประสิทธิภาพด้านจัดการเรียนการสอนด้านปฏิบัติการให้เพียงพอสำหรับนักศึกษา ทั้งระดับปริญญาตรี และระดับบัณฑิตศึกษา สาขาวิทยาศาสตร์สิ่งแวดล้อม เคมี ชีววิทยา จุลชีววิทยา ชีวเคมี ฟิสิกส์ นิติวิทยาศาสตร์ วิศวกรรมศาสตร์ เกษตรศาสตร์ เทคโนโลยี เภสัชศาสตร์ เพื่อสนับสนุนหลักสูตรตามเป้าหมายอุดมศึกษาด้านเซมิคอนดักเตอร์ (Semiconductor)</t>
  </si>
  <si>
    <r>
      <rPr>
        <rFont val="Arial"/>
        <b/>
        <color rgb="FF3E465A"/>
        <sz val="13.0"/>
      </rPr>
      <t xml:space="preserve">คุณลักษณะเฉพาะ
</t>
    </r>
    <r>
      <rPr>
        <rFont val="Arial"/>
        <b val="0"/>
        <color rgb="FF3E465A"/>
        <sz val="11.0"/>
      </rPr>
      <t>(รายละเอียดที่กำหนดขึ้นเฉพาะสำหรับงาน เพื่อให้ตรงตามความต้องการ เช่น ความแม่นยำ ความเร็ว ความทนทาน หรือฟีเจอร์พิเศษที่ต้องการ)</t>
    </r>
  </si>
  <si>
    <t>1. เครื่องไอซีพีแมสสเปคโตรมิเตอร์ (ICP-MS) รุ่น NexION 2200
1.1 ระบบการนำเข้าสารตัวอย่าง (Sample Introduction System)
1.1.1 Peristaltic Pump เป็นแบบ 4 Channel สามารถควบคุมความเร็วในการดูดสารละลายได้จากคอมพิวเตอร์
1.1.2 Nebulizer เป็นแบบ Glass Concentric เพื่อให้ได้ประสิทธิภาพและ sensitivity สูงในการวิเคราะห์สารปริมาณน้อย
1.1.3 Spray Chamber เป็นแบบ Glass Cyclonic 
1.1.4 คบพลาสมา (Torch) และ Injector วัสดุทำจาก Quartz และ Injector มีเส้นผ่านศูนย์กลางภายในขนาด 2 มิลลิเมตร 
1.1.5 มีระบบ All Matrix Solution (AMS) ที่ใช้แก๊สอาร์กอนในการเจือจางละอองตัวอย่างได้มากกว่า 200 เท่า เพื่อลดการรบกวนจาก Matrix และการอุดตันของ Cone เมื่อวิเคราะห์ตัวอย่างที่มีเกลือสูง (High TDS)
1.2 ระบบการจุด ควบคุม และปรับตำแหน่งของพลาสมา
1.2.1 แหล่งกำเนิดคลื่นความถี่วิทยุ (RF Generator) ความถี่ไม่ต่ำกว่า 34 MHz และเป็นชนิด Free-Running ซึ่งสามารถควบคุมพลังงานของพลาสมาให้คงที่แม้มีการเปลี่ยนชนิดของตัวอย่าง
1.2.2 สามารถปรับพลังงานของความถี่วิทยุ (RF power) ได้ในช่วง 400 ถึง 1600 วัตต์ โดยปรับละเอียดได้ 1 วัตต์
1.2.3 RF load coil เป็นชนิด LumiCoil™ ที่ไม่จำเป็นต้องหล่อเย็นด้วยแก๊สหรือน้ำ ทำให้เพิ่มความปลอดภัยด้านไฟฟ้า
1.2.4 ระบบจุดพลาสมาเป็นแบบอัตโนมัติ ควบคุมด้วยคอมพิวเตอร์ หรือกดปุ่มที่ตัวเครื่อง
1.2.5 สามารถปรับตำแหน่งของ torch ในแนว X, Y และZ ได้อัตโนมัติเพิ่อให้ ion สามารถเข้าสู่เครื่องมือได้สูงสุด โดยมีระยะการปรับในแนวตั้งและแนวนอนที่ 3 ถึง -3 mm. สามารถปรับได้ครั้งละ ±0.05 mm. และมีระยะการปรับในแนวลึกที่ 3 ถึง -3 mm. สามารถปรับได้ครั้งละ ±0.5 mm.
1.2.6 มีช่องมองภาพพลาสมาเป็นภาพสี เพื่อสามารถตรวจสอบ cone, torch และ load coil โดยไม่ต้องเปิดเครื่องมือ ทำให้สามารถสามารถปรับระยะความลึกของพลาสมาให้เหมาะสมเมื่อวิเคราะห์ตัวอย่างที่เป็นสารประกอบอินทรีย์หรือตัวอย่างที่ matrix สูง
1.2.7 สามารถใช้อัตราการไหลของแก๊สอาร์กอนได้ต่ำสุดถึง 12 L/min โดยไม่ต้องใช้คบพลาสมาแบบพิเศษหรืออุปกรณ์อื่นใด
1.3 ICP-MS Interface 
1.3.1 ระบบ Interface ได้ออกแบบเพื่อป้องกันการเกิด secondary discharge ที่ทำให้เกิดความเสียหายบริเวณ sample cone และทำให้ค่า background สูง และยังทำให้การกระจายตัวของพลังงานของ ion มีเสถียรภาพ ทำให้ได้ spectral resolution ที่ดี ระบบนี้สามารถทำงานได้โดยไม่ต้องใช้อุปกรณ์ป้องกันอื่นเพิ่มเติมซึ่งจะทำให้เกิดค่าใช้จ่ายที่ไม่จำเป็นเพิ่มขึ้น
1.3.2 Interface เป็นแบบ Triple Cone Interface ที่จะช่วยลดการกระจายตัวของ ion และเพิ่มประสิทธิภาพในการ focus ion ประกอบด้วย Sampler, Skimmer และ Hyper Skimmer Cone ที่มีขนาดเส้นผ่านศูนย์กลางของรูเท่ากับ 1.1, 0.6 และ 1.0 mm. ตามลำดับ เพื่อลดการอุดตันของ cone โดยวัสดุของ Sampler, Skimmer และ Hyper Skimmer Cone ทำจาก Nickel ซึ่งจะทำงานร่วมกับ OmniRing Technology ที่สามารถสร้างความต่างศักย์ไฟฟ้าด้านหลัง Hyper Skimmer Cone เพื่อช่วยเพิ่ม Sensitivity และสามารถเลือกใช้ mode ในการวิเคราะห์ได้ทั้ง extraction, focusing และ cold plasma mode
1.4 ICP-MS Quadrupole Ion Focusing System (Quadrupole ชุดที่ 1)
1.4.1 เป็นระบบ quadrupole แบบ Quadrupole Ion Deflector (QID) เพื่อหักเห ion ที่ต้องการวิเคราะห์ ในมุม 90 องศาเพื่อให้เข้าสู่ Universal Cell และทำให้สิ่งรบกวนต่างๆ ได้แก่ photons, matrix และ neutral species ผ่านออกจากเครื่องมือโดยระบบสุญญากาศ และไม่สามารถเข้าสู่เครื่องมือได้ ระบบนี้จะเพิ่มเสถียรภาพให้แก่ระบบและไม่จำเป็นต้องทำความสะอาดเนื่องจากออกแบบให้ ion ที่ออกจาก hyper skimmer cone ไม่สัมผ้สส่วนใดส่วนหนึ่งของ Quadrupole Ion Deflector เลย
1.4.2 ใช้เทคโนโลยีที่สามารถปรับค่าความต่างศักย์ให้เหมาะสมกับ mass ที่วิเคราะห์ได้โดยอัตโนมัติในระหว่างที่ทำการวิเคราะห์ เพิ่อให้ ion ที่ต้องการวิเคราะห์เข้าสู่เครื่องมือได้สูงสุด เป็นการเพื่ม sensitivity และลด background ในการวิเคราะห์
1.5 ระบบกำจัดสิ่งรบกวนจาก Polyatomic (Polyatomic Interference Removing System)
     (Quadrupole ชุดที่ 2)
1.5.1 ระบบกำจัดสิ่งรบกวนจาก polyatomic เป็นแบบ Universal Cell Technology (UCT) ประกอบด้วย Cell ที่มี quadrupole อยู่ภายใน ซึ่งสามารถปล่อยแก๊สเข้าไปเพื่อการชนหรือทำปฏิกิริยาเพื่อกำจัดสิ่งรบกวน
1.5.2 สามารถเลือกใช้งาน แก๊สสำหรับกำจัดสิ่งรบกวนได้ 3 ช่อง โดยสามารถเลือกใช้แก๊สได้หลายชนิดเช่น แก๊สมีเทน, แก๊สออกซิเจน และ แก๊สฮีเลียม รวมทั้งสามารถควบคุมอัตราการไหลได้ด้วยคอมพิวเตอร์
1.5.3 สามารถเลือกการทำงานได้ 3 Mode ใน method เดียวกัน ดังต่อไปนี้
1.5.3.1 Standard Mode สำหรับงานทั่วไปที่ไม่มีสิ่งรบกวน
1.5.3.2 Collision Mode เป็นการกำจัดสิ่งรบกวนโดยใช้แก๊สที่ไม่ว่องไวต่อการทำปฏิกริยา เช่น แก๊สฮีเลียม ในการชนกับสิ่งรบกวนที่มีขนาดใหญ่กว่า ทำให้พลังงานจลน์ (Kinetic Energy) ลดลง ทำให้ได้ Detection Limit ที่ดีกว่า Standard Mode โดยใช้เทคโนโลยี Kinetic Energy Discrimination (KED)  
1.5.3.3 Dynamic Reaction Mode ใช้สำหรับงานที่ต้องการประสิทธิภาพสูงสุดในการกำจัดสิ่งรบกวน โดยใช้แก๊สที่ว่องไวต่อปฏิกริยา เช่น มีเทน หรืออ็อกซิเจน ในการทำปฏิกริยากับสิ่งรบกวน ซึ่งปฏิกิริยาข้างเคียง (Side reaction) และสิ่งรบกวนที่เกิดขึ้นใหม่สามารถถูกกำจัดได้โดยทันที ด้วยเทคโนโลยี Dynamic Reaction Cell ร่วมกับ Scanning Quadrupole 
1.6 ระบบวิเคราะห์มวลสาร (Quadrupole Mass Analyzer) (Quadrupole ชุดที่ 3)
1.6.1 ระบบวิเคราะห์มวลสารประกอบด้วยชุดของ quadrupole ที่ทำจาก Alloy material (โลหะผสม)
ที่มีคงตัวสูงต่อการเปลี่ยนแปลงอุณหภูมิ  ตลอดความยาวของ quadrupole 
1.6.2 สามารถ scan มวลสารได้ครอบคลุมช่วง 1-285 amu
1.6.3 Quadrupole ทำงานที่ความถี่ 2.5 MHz ซึ่งออกแบบเพื่อให้ได้ hyperbolic field ที่สมบูรณ์แบบ
1.6.4 มี Resolution ในการทำงานทั่วไปที่ 0.7 amu โดยสามารถปรับได้ &lt; 0.3 amu
1.6.5 Quadrupole peak hop (slew) speed สูงถึง 1,600,000 amu/sec
1.6.6 ความเร็วในการ scan ของ quadrupole สูงถึง 5000 amu/sec
1.6.7 มีความเร็วในการเก็บข้อมูล (Nano mode) ได้ถึง 100,000 point/sec ซึ่งเหมาะสมอย่างยิ่งกับงานที่ต้องการข้อมูลเป็นจำนวนมาก
1.7 ระบบตรวจวัดมวลสาร (Detector)
1.7.1 ระบบตรวจวัดมวลสารเป็นชนิด Dual-stage discrete-dynode electron multiplier ที่มีความสามารถตรวจวัดได้ทั้งช่วง high signal (analog) และ low signal (pulse) โดยพร้อมกัน 
1.7.2 มีช่วง linear dynamic range ครอบคลุม 1010 orders (&lt;0.1 cps ถึง &gt;109 cps) และ 1014 orders เมื่อทำงานร่วมกับเทคโนโลยี Extended Dynamic Range (EDR )
1.7.3 สามารถตั้งเวลา Dwell Time ได้ต่ำถึง 10 microseconds (us)
1.8 ส่วนสุญญากาศ (vacuum) เป็นชนิด 4-stage ประกอบด้วย pump 2 ส่วน คือ turbomolecular pump แบบ Triple inlet และ roughing pump สำหรับทำสุญญากาศ
1.9 ระบบควบคุมการทำงานและประมวลผล
ซอฟต์แวร์ควบคุมการทำงานของเครื่องสามารถทำงานร่วมกับระบบปฏิบัติการ Windows  ได้โดยมีรายละเอียดดังต่อไปนี้
1.9.1 สามารถควบคุมเครื่อง ICP-MS ให้ทำงานร่วมกับอุปกรณ์เชื่อมต่อได้ รวมถึงสามารถแสดงสถานะของระบบ vacuum system, cooling system, plasma system และ gas system ได้ 
1.9.2 สามารถปรับแต่ง parameter ที่ใช้ในการ Operate เช่น nebulizer gas flow, QID voltage, RF power, detector voltage ได้ โดยมีขั้นตอนในการปรับแต่งโดยอัตโนมัติ
1.9.3 สามารถเลือกเทคนิคในการวิเคราะห์ได้ดังต่อไปนี้
1.9.3.1 Quantitative Analysis 
1.9.3.2 Semi-Quantitative (TotalQuant) Analysis
1.9.3.3 Isotope Ratio 
1.9.3.4 Isotope Dilution
1.9.3.5 Data Only mode
1.10 ประสิทธิภาพของเครื่องมือ
1.10.1 Detection limits โดยใช้ค่าที่ 3 เท่าของค่า standard deviation ของ blank ในการวัดโดยใช้ integration time ที่ 3 วินาที และตั้งค่า peak hopping ที่ 1 จุด ต่อ mass จะให้ค่าดังนี้
Manufacturing Specs                Typical Specs*
9Be                  ≤ 0.4 ng/L                    ≤ 0.2 ng/L         
115In                 ≤ 0.05 ng/L                   ≤ 0.02 ng/L
209Bi                 ≤ 0.05 ng/L                   ≤ 0.02 ng/L        
* โดย Typical Spec จะเป็น spec ที่สามารถทำได้แต่จะไม่ได้ทำการทดสอบระหว่างการผลิตและการติดตั้ง
1.10.2 Sensitivity ในหน่วย M cps/mg/L
Manufacturing Specs                Typical Specs*
   7Li                   &gt; 70                             &gt; 140
 59Co                                             &gt; 400
 89Y                                             &gt; 700
115In                 &gt; 400                             &gt; 700
205Tl                                             &gt; 500
                        238U                 &gt; 300                             &gt; 350
* โดย Typical Spec จะเป็น spec ที่สามารถทำได้แต่จะไม่ได้ทำการทดสอบระหว่างการผลิตและการติดตั้ง
1.10.3 Oxide และ Doubly-charged วัดภายใต้สภาวะที่ได้ sensitivity และ detection limit ตามที่กำหนด
        CeO+/Ce+        ≤ 0.025
        Ce++/ Ce+        ≤ 0.03
1.10.4 System Background Signal ที่ mass 220.5        ≤ 1 cps
1.10.5 Detector Background Signal ที่ mass 220.5        ≤ 0.1 cps
1.10.6 Short-term precision วัดค่า % RSD ของสารละลาย multi-element ความเข้มข้น 1-10 µg/L โดยใช้ integration time 3 วินาที และไม่ใช้ internal standard โดยสลับกันระหว่าง Standard, Reaction and Collision mode จะมีค่า &lt; 2% RSD ในช่วงเวลา 10 นาที
1.10.7 Long-term stability โดย Warm Stability จะทดสอบความเสถียรหลังจากมีการ warm-up เป็นเวลา 1 ชั่วโมง และ Cold Stability จะทดสอบความเสถียรโดยไม่มีการ warm-up ซึ่งวัดเป็นค่า % RSD ของค่าสัญญาณจากสารละลาย multi-element ความเข้มข้น 1-10 µg/L ทุกๆ 10 นาที โดยไม่ใช้ internal standard และสลับกันระหว่าง Standard, Reaction and Collision mode จะมีค่า Warm Stability &lt; 3% RSD ในช่วงเวลา 2 ชั่วโมง และมีค่า Warm Stability &lt; 4% RSD ในช่วงเวลา 4 ชั่วโมง
1.10.8 Mass Calibration Stability วัดธาตุ ธาตุ 7Li, 24Mg, 115In และ 238U ความเข้มข้น 1 µg/L เพื่อดูการเลื่อนตำแหน่งของ spectral โดยมีค่า &lt; 0.05 AMU ในการวัดแบบต่อเนื่องเป็นเวลาไม่น้อยกว่า 8 ชั่วโมง
2. เครื่องดูดสารตัวอย่างอัตโนมัติ 
เป็นเครื่องดูดสารตัวอย่างอัตโนมัติ ที่ใช้ต่อเข้ากับเครื่อง ไอซีพีแมสสเปคโตรมิเตอร์ (ICP-MS)  ควบคุมการทำงานด้วยคอมพิวเตอร์ โดยมีรายละเอียดของส่วนต่างๆ ดังต่อไปนี้
2.1 มีแขนกล (Probe arm) ที่ออกแบบให้เคลื่อนที่ได้ในแนวแกน X, Y และ Z โดยสามารถเคลื่อนที่ในแนวแกน X และ Y ได้พร้อมกัน (Simultaneous) เพื่อเพิ่มความรวดเร็วในการเคลื่อนที่
2.2 แขนกลสามารถปรับความเร็วในการเคลื่อนที่ได้ทั้ง 3 แกน โดยปรับความเร็วได้สูงสุดถึง 330 mm/sec
2.3 มีถาดใส่ภาชนะบรรจุตัวอย่าง (Tray) ซึ่งสามารถบรรจุสารตัวอย่างขนาด 15 ml ได้ไม่น้อยกว่า 180 ตัวอย่าง 
2.4 มีระบบล้าง Probe แบบ Dual rinse โดยแยกช่องและแยกสารละลายล้าง ช่วยลดการเกิด carry over ในกรณีตัวอย่างมีความเข้มข้นแตกต่างกันมาก สามารถปรับอัตราเร็วในการล้างได้สูงสุดถึง 80 mL/min
2.5 มีสัญญาณไฟ (LED) แสดงสถานะการทำงานแบบ real time
2.6 ระบบอิเล็กทรอนิกส์และระบบกลไก ออกแบบให้อยู่ทางด้านข้าง ลดความเสี่ยงจากการหกของตัวอย่างเพื่อยืดอายุการใช้งานและบำรุงรักษาได้ง่าย
2.7 สามารถกำหนดชนิดและรูปแบบการวางของ tray ที่ใช้งานได้ รวมถึงความลึกของ probe ในแต่ละ tray ได้ เพื่อประโยชน์ในการใช้งานกับตัวอย่างที่มีตะกอนหรือแยกชั้น
2.8 เชื่อมต่อกับคอมพิวเตอร์ด้วย USB port ทำให้ติดตั้งได้ง่ายและรวดเร็ว
3. อุปกรณ์ประกอบเครื่อง
         3.1 เครื่องคอมพิวเตอร์ที่ใช้ควบคุมการทำงานของเครื่อง ICP-MS มีรายละเอียดดังนี้
        - หน่วยประมวลผลกลาง (CPU) ความเร็ว 3.0 GHz,                - หน่วยความจำ (RAM) ขนาด 64 GB
- Hard Disk ขนาด 1 TB                                         - Mouse
- จอภาพสี ขนาด 23 นิ้ว แบบ LED                        - Keyboard                 
- ระบบปฏิบัติการ Windows 11                                                                จำนวน 1 ชุด
         3.3 แก๊สออกซิเจน (99.999 %) พร้อมถังและชุดหัวปรับความดัน                                 จำนวน 1 ชุด 
         3.4 แก๊สแอมโมเนีย (99.999 %) พร้อมถังและชุดหัวปรับความดัน                                จำนวน 1 ชุด
         3.5 แก๊สฮีเลียม (99.999 %) พร้อมถังและชุดหัวปรับความดัน                                        จำนวน 1 ชุด
         3.6 เครื่องสำรองไฟฟ้า (UPS) ขนาด 10 KVA                                                 จำนวน 1 ชุด
         3.7 ระบบระบายอากาศเสีย (Exhaust Hood System) ทำด้วยสแตนเลสพร้อมติดตั้ง                จำนวน 1 ชุด        
         3.8 เครื่องพิมพ์ผลชนิดเลเซอร์                                                                จำนวน 1 เครื่อง
         3.9 ชุด Quartz Torch และ Injector สำรอง                                                 จำนวน 1 ชิ้น
         3.10 สารละลายมาตรฐานผสมของธาตุ                                                        จำนวน 1 ขวด
         3.11 สารละลาย Setup solution สำหรับปรับตั้งเครื่อง                                        จำนวน / ขวด
         3.12 สารละลาย  NexION Collision                                                        จำนวน 1 ขวด
         3.13 สารละลาย Dual Detector                                                                จำนวน 1 ขวด
         3.14 ท่อดูดสารสำหรับตัวอย่าง                                                                จำนวน 2 แพ็ค
         3.15 ท่อดูดสารสำหรับน้ำทิ้ง                                                                จำนวน 2 แพ็ค
         3.16 ท่อดูดสารสำหรับInternal standard                                                        จำนวน 2 แพ็ค</t>
  </si>
  <si>
    <r>
      <rPr>
        <rFont val="Arial"/>
        <b/>
        <color rgb="FF3E465A"/>
        <sz val="13.0"/>
      </rPr>
      <t xml:space="preserve">อุปกรณ์ประกอบ
</t>
    </r>
    <r>
      <rPr>
        <rFont val="Arial"/>
        <b val="0"/>
        <color rgb="FF3E465A"/>
        <sz val="11.0"/>
      </rPr>
      <t>(อุปกรณ์ที่ใช้ร่วมกับครุภัณฑ์หลัก เพื่อให้สามารถใช้งานได้อย่างสมบูรณ์หรือเพิ่มประสิทธิภาพในการใช้งาน เช่น สายไฟ แบตเตอรี่ อะแดปเตอร์ หรือชิ้นส่วนต่าง ๆ ที่จำเป็นต่อการติดตั้งและการใช้งาน)</t>
    </r>
  </si>
  <si>
    <t>เครื่องมือวิเคราะห์ปริมาณธาตุแบบอินดัคทีพลีคัพเพิลพลาสมา แมสสเปคโทรมิเตอร์ ประกอบด้วย
3.1 เครื่องคอมพิวเตอร์ที่ใช้ควบคุมการทำงานของเครื่อง ICP-MS มีรายละเอียดดังนี้
- หน่วยประมวลผลกลาง (CPU) ความเร็ว 3.0 GHz,
- Hard Disk ขนาด 1 TB
- จอภาพสี ขนาด 23 นิ้ว แบบ LED
- ระบบปฏิบัติการ Windows 11
- หน่วยความจำ (RAM) ขนาด 64 GB
- Mouse
- Keyboard
3.2 แก๊สออกซิเจน (99.999 %) พร้อมถังและชุดหัวปรับความดัน จำนวน 1 ชุด
3.3 แก๊สแอมโมเนีย (99.999 %) พร้อมถังและชุดหัวปรับความดัน จำนวน 1 ชุด
3.4 แก๊สฮีเลียม (99.999 %) พร้อมถังและชุดหัวปรับความดัน จำนวน 1 ชุด
3.5 เครื่องสำรองไฟฟ้า (UPS) ขนาด 10 KVA จำนวน 1 ชุด
3.6 ระบบระบายอากาศเสีย (Exhaust Hood System) ทำด้วยสแตนเลสพร้อมติดตั้ง จำนวน 1 ชุด
3.7 เครื่องพิมพ์ผลชนิดเลเซอร์ จำนวน 1 เครื่อง
3.8 ชุด Quartz Torch และ Injector สำรอง จำนวน 1 ชิ้น
3.9 สารละลายมาตรฐานผสมของธาตุ จำนวน 1 ขวด
3.10 สารละลาย Setup solution สำหรับปรับตั้งเครื่อง จำนวน / ขวด
3.11 สารละลาย NexION Collision จำนวน 1 ขวด
3.12 สารละลาย Dual Detector จำนวน 1 ขวด
3.13 ท่อดูดสารสำหรับตัวอย่าง จำนวน 2 แพ็ค
3.14 ท่อดูดสารสำหรับน้ำทิ้ง จำนวน 2 แพ็ค
3.15 ท่อดูดสารสําหรับInternal standard จํานวน 2 แพ็ค</t>
  </si>
  <si>
    <t>คำชี้แจงเพิ่มเติม</t>
  </si>
  <si>
    <r>
      <rPr>
        <color rgb="FF3E465A"/>
        <sz val="13.0"/>
      </rPr>
      <t xml:space="preserve">เอกสารครบถ้วนและมีการชี้แจงข้อมูลแล้วกรณีชื่อรายการคล้ายคลึง "แมสสเปคฯ"
คำชี้แจงเพิ่มติม </t>
    </r>
    <r>
      <rPr>
        <color rgb="FF1155CC"/>
        <sz val="13.0"/>
        <u/>
      </rPr>
      <t xml:space="preserve">https://drive.google.com/file/d/1zMJyJOD8wdiiLpSCUtPn2bD70077EP1I/view?usp=drive_link
</t>
    </r>
    <r>
      <rPr>
        <color rgb="FF3E465A"/>
        <sz val="13.0"/>
      </rPr>
      <t xml:space="preserve">
**ใบเสนอราคาต้องย่อยรายการภายในว่าอะไรราคาเท่าไหร่บ้าง</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</si>
</sst>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H:mm:ss"/>
    <numFmt numFmtId="165" formatCode="d&quot; &quot;mmmm&quot; &quot;yyyy"/>
  </numFmts>
  <fonts count="40">
    <font>
      <sz val="10.0"/>
      <color rgb="FF000000"/>
      <name val="Arial"/>
      <scheme val="minor"/>
    </font>
    <font>
      <b/>
      <sz val="13.0"/>
      <color rgb="FF3E465A"/>
      <name val="Arial"/>
      <scheme val="minor"/>
    </font>
    <font>
      <b/>
      <sz val="12.0"/>
      <color theme="1"/>
      <name val="Prompt"/>
    </font>
    <font>
      <sz val="13.0"/>
      <color rgb="FF3E465A"/>
      <name val="Arial"/>
      <scheme val="minor"/>
    </font>
    <font>
      <b/>
      <sz val="12.0"/>
      <color rgb="FF000000"/>
      <name val="Prompt"/>
    </font>
    <font>
      <sz val="12.0"/>
      <color theme="1"/>
      <name val="Prompt"/>
    </font>
    <font>
      <color theme="1"/>
      <name val="Arial"/>
      <scheme val="minor"/>
    </font>
    <font>
      <b/>
      <sz val="15.0"/>
      <color rgb="FF3E465A"/>
      <name val="Arial"/>
      <scheme val="minor"/>
    </font>
    <font>
      <b/>
      <sz val="18.0"/>
      <color rgb="FF3E465A"/>
      <name val="Arial"/>
      <scheme val="minor"/>
    </font>
    <font>
      <b/>
      <sz val="13.0"/>
      <color rgb="FFFFFFFF"/>
      <name val="Arial"/>
      <scheme val="minor"/>
    </font>
    <font>
      <sz val="36.0"/>
      <color theme="1"/>
      <name val="Prompt"/>
    </font>
    <font/>
    <font>
      <sz val="15.0"/>
      <color theme="1"/>
      <name val="Prompt"/>
    </font>
    <font>
      <b/>
      <sz val="6.0"/>
      <color theme="1"/>
      <name val="Arial"/>
    </font>
    <font>
      <sz val="12.0"/>
      <color rgb="FF3E465A"/>
      <name val="Prompt"/>
    </font>
    <font>
      <b/>
      <sz val="6.0"/>
      <color theme="1"/>
      <name val="Calibri"/>
    </font>
    <font>
      <color rgb="FF3E465A"/>
      <name val="Arial"/>
    </font>
    <font>
      <sz val="12.0"/>
      <color rgb="FF3E465A"/>
      <name val="Arial"/>
      <scheme val="minor"/>
    </font>
    <font>
      <b/>
      <sz val="12.0"/>
      <color rgb="FF3E465A"/>
      <name val="Arial"/>
      <scheme val="minor"/>
    </font>
    <font>
      <sz val="11.0"/>
      <color rgb="FF3E465A"/>
      <name val="Arial"/>
      <scheme val="minor"/>
    </font>
    <font>
      <b/>
      <sz val="13.0"/>
      <color rgb="FF3E465A"/>
      <name val="Arial"/>
    </font>
    <font>
      <sz val="10.0"/>
      <color rgb="FF3E465A"/>
      <name val="Arial"/>
    </font>
    <font>
      <b/>
      <sz val="13.0"/>
      <color rgb="FFFFFFFF"/>
      <name val="Arial"/>
    </font>
    <font>
      <sz val="13.0"/>
      <color rgb="FF3E465A"/>
      <name val="Arial"/>
    </font>
    <font>
      <b/>
      <sz val="11.0"/>
      <color rgb="FFFFFFFF"/>
      <name val="Arial"/>
      <scheme val="minor"/>
    </font>
    <font>
      <sz val="12.0"/>
      <color rgb="FF3E465A"/>
      <name val="Arial"/>
    </font>
    <font>
      <u/>
      <sz val="13.0"/>
      <color rgb="FF0000FF"/>
      <name val="Arial"/>
    </font>
    <font>
      <u/>
      <sz val="13.0"/>
      <color rgb="FF0000FF"/>
    </font>
    <font>
      <b/>
      <sz val="11.0"/>
      <color rgb="FF3E465A"/>
      <name val="Arial"/>
      <scheme val="minor"/>
    </font>
    <font>
      <sz val="13.0"/>
      <color theme="1"/>
      <name val="Arial"/>
      <scheme val="minor"/>
    </font>
    <font>
      <b/>
      <u/>
      <sz val="13.0"/>
      <color rgb="FFFFFFFF"/>
      <name val="Arial"/>
    </font>
    <font>
      <b/>
      <u/>
      <sz val="13.0"/>
      <color rgb="FF0000FF"/>
      <name val="Arial"/>
    </font>
    <font>
      <color theme="1"/>
      <name val="Arial"/>
    </font>
    <font>
      <sz val="10.0"/>
      <color rgb="FF85200C"/>
      <name val="Arial"/>
      <scheme val="minor"/>
    </font>
    <font>
      <b/>
      <u/>
      <sz val="13.0"/>
      <color rgb="FF0000FF"/>
    </font>
    <font>
      <b/>
      <u/>
      <sz val="13.0"/>
      <color rgb="FF3E465A"/>
      <name val="Arial"/>
      <scheme val="minor"/>
    </font>
    <font>
      <sz val="10.0"/>
      <color rgb="FF999999"/>
      <name val="Arial"/>
      <scheme val="minor"/>
    </font>
    <font>
      <sz val="10.0"/>
      <color rgb="FF666666"/>
      <name val="Arial"/>
      <scheme val="minor"/>
    </font>
    <font>
      <b/>
      <sz val="10.0"/>
      <color rgb="FFBDBDBD"/>
      <name val="Arial"/>
    </font>
    <font>
      <u/>
      <sz val="13.0"/>
      <color rgb="FF3E465A"/>
    </font>
  </fonts>
  <fills count="14">
    <fill>
      <patternFill patternType="none"/>
    </fill>
    <fill>
      <patternFill patternType="lightGray"/>
    </fill>
    <fill>
      <patternFill patternType="solid">
        <fgColor rgb="FFB7E1CD"/>
        <bgColor rgb="FFB7E1CD"/>
      </patternFill>
    </fill>
    <fill>
      <patternFill patternType="solid">
        <fgColor rgb="FFFFD666"/>
        <bgColor rgb="FFFFD666"/>
      </patternFill>
    </fill>
    <fill>
      <patternFill patternType="solid">
        <fgColor rgb="FFE06666"/>
        <bgColor rgb="FFE06666"/>
      </patternFill>
    </fill>
    <fill>
      <patternFill patternType="solid">
        <fgColor rgb="FFEA9999"/>
        <bgColor rgb="FFEA9999"/>
      </patternFill>
    </fill>
    <fill>
      <patternFill patternType="solid">
        <fgColor rgb="FF3E465A"/>
        <bgColor rgb="FF3E465A"/>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FFFFFF"/>
        <bgColor rgb="FFFFFFFF"/>
      </patternFill>
    </fill>
    <fill>
      <patternFill patternType="solid">
        <fgColor rgb="FFFFCCCB"/>
        <bgColor rgb="FFFFCCCB"/>
      </patternFill>
    </fill>
    <fill>
      <patternFill patternType="solid">
        <fgColor rgb="FFD9D9D9"/>
        <bgColor rgb="FFD9D9D9"/>
      </patternFill>
    </fill>
    <fill>
      <patternFill patternType="solid">
        <fgColor rgb="FFCC0000"/>
        <bgColor rgb="FFCC0000"/>
      </patternFill>
    </fill>
  </fills>
  <borders count="28">
    <border/>
    <border>
      <left style="thin">
        <color rgb="FFBDBDBD"/>
      </left>
      <top style="thin">
        <color rgb="FFBDBDBD"/>
      </top>
    </border>
    <border>
      <top style="thin">
        <color rgb="FFBDBDBD"/>
      </top>
    </border>
    <border>
      <right style="thin">
        <color rgb="FFBDBDBD"/>
      </right>
      <top style="thin">
        <color rgb="FFBDBDBD"/>
      </top>
    </border>
    <border>
      <bottom style="medium">
        <color rgb="FF3E465A"/>
      </bottom>
    </border>
    <border>
      <top style="thin">
        <color rgb="FFBDBDBD"/>
      </top>
      <bottom style="thin">
        <color rgb="FF999999"/>
      </bottom>
    </border>
    <border>
      <right style="thin">
        <color rgb="FFBDBDBD"/>
      </right>
      <top style="thin">
        <color rgb="FFBDBDBD"/>
      </top>
      <bottom style="thin">
        <color rgb="FF999999"/>
      </bottom>
    </border>
    <border>
      <left style="thin">
        <color rgb="FFBDBDBD"/>
      </left>
    </border>
    <border>
      <bottom style="thin">
        <color rgb="FF999999"/>
      </bottom>
    </border>
    <border>
      <right style="thin">
        <color rgb="FFBDBDBD"/>
      </right>
      <bottom style="thin">
        <color rgb="FF999999"/>
      </bottom>
    </border>
    <border>
      <top style="thin">
        <color rgb="FF999999"/>
      </top>
      <bottom style="thin">
        <color rgb="FF999999"/>
      </bottom>
    </border>
    <border>
      <right style="thin">
        <color rgb="FFBDBDBD"/>
      </right>
      <top style="thin">
        <color rgb="FF999999"/>
      </top>
      <bottom style="thin">
        <color rgb="FF999999"/>
      </bottom>
    </border>
    <border>
      <left style="thin">
        <color rgb="FFBDBDBD"/>
      </left>
      <bottom style="thin">
        <color rgb="FFBDBDBD"/>
      </bottom>
    </border>
    <border>
      <bottom style="thin">
        <color rgb="FFBDBDBD"/>
      </bottom>
    </border>
    <border>
      <right style="thin">
        <color rgb="FFBDBDBD"/>
      </right>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border>
    <border>
      <left style="thin">
        <color rgb="FF999999"/>
      </left>
      <top style="thin">
        <color rgb="FF999999"/>
      </top>
      <bottom style="thin">
        <color rgb="FFBDBDBD"/>
      </bottom>
    </border>
    <border>
      <top style="thin">
        <color rgb="FF999999"/>
      </top>
      <bottom style="thin">
        <color rgb="FFBDBDBD"/>
      </bottom>
    </border>
    <border>
      <right style="thin">
        <color rgb="FFBDBDBD"/>
      </right>
      <top style="thin">
        <color rgb="FF999999"/>
      </top>
      <bottom style="thin">
        <color rgb="FFBDBDBD"/>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right style="thin">
        <color rgb="FF999999"/>
      </right>
      <bottom style="thin">
        <color rgb="FF999999"/>
      </bottom>
    </border>
    <border>
      <left style="thin">
        <color rgb="FFBDBDBD"/>
      </left>
      <right style="thin">
        <color rgb="FFBDBDBD"/>
      </right>
      <top style="thin">
        <color rgb="FFBDBDBD"/>
      </top>
      <bottom style="thin">
        <color rgb="FFBDBDBD"/>
      </bottom>
    </border>
    <border>
      <left style="thin">
        <color rgb="FFBDBDBD"/>
      </left>
      <right style="thin">
        <color rgb="FFBDBDBD"/>
      </right>
      <top style="thin">
        <color rgb="FFBDBDBD"/>
      </top>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2" fontId="2" numFmtId="0" xfId="0" applyAlignment="1" applyFill="1" applyFont="1">
      <alignment horizontal="center" readingOrder="0" vertical="bottom"/>
    </xf>
    <xf borderId="0" fillId="0" fontId="3" numFmtId="0" xfId="0" applyAlignment="1" applyFont="1">
      <alignment shrinkToFit="0" vertical="bottom" wrapText="0"/>
    </xf>
    <xf borderId="0" fillId="2" fontId="4" numFmtId="0" xfId="0" applyAlignment="1" applyFill="1" applyFont="1">
      <alignment horizontal="center" readingOrder="0" vertical="bottom"/>
    </xf>
    <xf borderId="0" fillId="0" fontId="3" numFmtId="0" xfId="0" applyAlignment="1" applyFont="1">
      <alignment horizontal="center" shrinkToFit="0" vertical="bottom" wrapText="0"/>
    </xf>
    <xf borderId="0" fillId="3" fontId="5" numFmtId="0" xfId="0" applyAlignment="1" applyFill="1" applyFont="1">
      <alignment readingOrder="0"/>
    </xf>
    <xf borderId="0" fillId="0" fontId="1" numFmtId="0" xfId="0" applyAlignment="1" applyFont="1">
      <alignment horizontal="right" readingOrder="0" shrinkToFit="0" vertical="bottom" wrapText="0"/>
    </xf>
    <xf borderId="0" fillId="0" fontId="6" numFmtId="0" xfId="0" applyAlignment="1" applyFont="1">
      <alignment readingOrder="0"/>
    </xf>
    <xf borderId="0" fillId="0" fontId="1" numFmtId="0" xfId="0" applyAlignment="1" applyFont="1">
      <alignment horizontal="right" readingOrder="0"/>
    </xf>
    <xf borderId="0" fillId="0" fontId="7" numFmtId="0" xfId="0" applyAlignment="1" applyFont="1">
      <alignment horizontal="center" readingOrder="0" shrinkToFit="0" vertical="bottom" wrapText="0"/>
    </xf>
    <xf borderId="0" fillId="0" fontId="6" numFmtId="0" xfId="0" applyAlignment="1" applyFont="1">
      <alignment shrinkToFit="0" wrapText="0"/>
    </xf>
    <xf borderId="0" fillId="0" fontId="8" numFmtId="0" xfId="0" applyAlignment="1" applyFont="1">
      <alignment horizontal="center" readingOrder="0" shrinkToFit="0" vertical="bottom" wrapText="0"/>
    </xf>
    <xf borderId="0" fillId="0" fontId="1" numFmtId="0" xfId="0" applyAlignment="1" applyFont="1">
      <alignment horizontal="center" readingOrder="0" shrinkToFit="0" vertical="bottom" wrapText="0"/>
    </xf>
    <xf borderId="0" fillId="4" fontId="6" numFmtId="0" xfId="0" applyFill="1" applyFont="1"/>
    <xf borderId="0" fillId="5" fontId="6" numFmtId="0" xfId="0" applyFill="1" applyFont="1"/>
    <xf borderId="1" fillId="6" fontId="9" numFmtId="0" xfId="0" applyAlignment="1" applyBorder="1" applyFill="1" applyFont="1">
      <alignment horizontal="center" vertical="bottom"/>
    </xf>
    <xf borderId="0" fillId="0" fontId="10" numFmtId="10" xfId="0" applyAlignment="1" applyFont="1" applyNumberFormat="1">
      <alignment readingOrder="0" vertical="center"/>
    </xf>
    <xf borderId="2" fillId="0" fontId="11" numFmtId="0" xfId="0" applyBorder="1" applyFont="1"/>
    <xf borderId="0" fillId="0" fontId="5" numFmtId="0" xfId="0" applyAlignment="1" applyFont="1">
      <alignment readingOrder="0"/>
    </xf>
    <xf borderId="3" fillId="0" fontId="11" numFmtId="0" xfId="0" applyBorder="1" applyFont="1"/>
    <xf borderId="0" fillId="0" fontId="12" numFmtId="0" xfId="0" applyAlignment="1" applyFont="1">
      <alignment readingOrder="0"/>
    </xf>
    <xf borderId="0" fillId="7" fontId="13" numFmtId="0" xfId="0" applyAlignment="1" applyFill="1" applyFont="1">
      <alignment horizontal="center" shrinkToFit="0" vertical="top" wrapText="1"/>
    </xf>
    <xf borderId="1" fillId="0" fontId="1" numFmtId="0" xfId="0" applyAlignment="1" applyBorder="1" applyFont="1">
      <alignment horizontal="right" vertical="bottom"/>
    </xf>
    <xf borderId="0" fillId="0" fontId="5" numFmtId="164" xfId="0" applyAlignment="1" applyFont="1" applyNumberFormat="1">
      <alignment readingOrder="0"/>
    </xf>
    <xf borderId="0" fillId="8" fontId="6" numFmtId="0" xfId="0" applyAlignment="1" applyFill="1" applyFont="1">
      <alignment shrinkToFit="0" wrapText="0"/>
    </xf>
    <xf borderId="0" fillId="0" fontId="14" numFmtId="0" xfId="0" applyAlignment="1" applyFont="1">
      <alignment readingOrder="0"/>
    </xf>
    <xf borderId="0" fillId="0" fontId="14" numFmtId="10" xfId="0" applyAlignment="1" applyFont="1" applyNumberFormat="1">
      <alignment readingOrder="0"/>
    </xf>
    <xf borderId="0" fillId="9" fontId="15" numFmtId="0" xfId="0" applyAlignment="1" applyFill="1" applyFont="1">
      <alignment horizontal="center" shrinkToFit="0" vertical="top" wrapText="1"/>
    </xf>
    <xf borderId="0" fillId="9" fontId="13" numFmtId="0" xfId="0" applyAlignment="1" applyFill="1" applyFont="1">
      <alignment horizontal="center" shrinkToFit="0" vertical="top" wrapText="1"/>
    </xf>
    <xf borderId="4" fillId="0" fontId="16" numFmtId="0" xfId="0" applyAlignment="1" applyBorder="1" applyFont="1">
      <alignment vertical="bottom"/>
    </xf>
    <xf borderId="0" fillId="0" fontId="6" numFmtId="0" xfId="0" applyFont="1"/>
    <xf borderId="4" fillId="0" fontId="14" numFmtId="0" xfId="0" applyAlignment="1" applyBorder="1" applyFont="1">
      <alignment readingOrder="0" vertical="bottom"/>
    </xf>
    <xf borderId="4" fillId="0" fontId="16" numFmtId="10" xfId="0" applyAlignment="1" applyBorder="1" applyFont="1" applyNumberFormat="1">
      <alignment vertical="bottom"/>
    </xf>
    <xf borderId="5" fillId="0" fontId="17" numFmtId="0" xfId="0" applyAlignment="1" applyBorder="1" applyFont="1">
      <alignment readingOrder="0" vertical="bottom"/>
    </xf>
    <xf borderId="4" fillId="0" fontId="16" numFmtId="0" xfId="0" applyAlignment="1" applyBorder="1" applyFont="1">
      <alignment readingOrder="0" vertical="bottom"/>
    </xf>
    <xf borderId="5" fillId="0" fontId="11" numFmtId="0" xfId="0" applyBorder="1" applyFont="1"/>
    <xf borderId="6" fillId="0" fontId="11" numFmtId="0" xfId="0" applyBorder="1" applyFont="1"/>
    <xf borderId="7" fillId="0" fontId="1" numFmtId="0" xfId="0" applyAlignment="1" applyBorder="1" applyFont="1">
      <alignment horizontal="right" vertical="bottom"/>
    </xf>
    <xf borderId="0" fillId="0" fontId="14" numFmtId="10" xfId="0" applyFont="1" applyNumberFormat="1"/>
    <xf borderId="8" fillId="0" fontId="17" numFmtId="0" xfId="0" applyAlignment="1" applyBorder="1" applyFont="1">
      <alignment readingOrder="0" shrinkToFit="0" vertical="bottom" wrapText="1"/>
    </xf>
    <xf borderId="8" fillId="0" fontId="11" numFmtId="0" xfId="0" applyBorder="1" applyFont="1"/>
    <xf borderId="0" fillId="0" fontId="14" numFmtId="0" xfId="0" applyFont="1"/>
    <xf borderId="9" fillId="0" fontId="11" numFmtId="0" xfId="0" applyBorder="1" applyFont="1"/>
    <xf borderId="8" fillId="0" fontId="17" numFmtId="3" xfId="0" applyAlignment="1" applyBorder="1" applyFont="1" applyNumberFormat="1">
      <alignment horizontal="center" readingOrder="0" vertical="bottom"/>
    </xf>
    <xf borderId="0" fillId="0" fontId="3" numFmtId="3" xfId="0" applyAlignment="1" applyFont="1" applyNumberFormat="1">
      <alignment horizontal="center" readingOrder="0" vertical="bottom"/>
    </xf>
    <xf borderId="0" fillId="0" fontId="1" numFmtId="3" xfId="0" applyAlignment="1" applyFont="1" applyNumberFormat="1">
      <alignment horizontal="center" readingOrder="0" vertical="bottom"/>
    </xf>
    <xf borderId="0" fillId="0" fontId="6" numFmtId="49" xfId="0" applyAlignment="1" applyFont="1" applyNumberFormat="1">
      <alignment shrinkToFit="0" wrapText="0"/>
    </xf>
    <xf borderId="7" fillId="0" fontId="1" numFmtId="0" xfId="0" applyAlignment="1" applyBorder="1" applyFont="1">
      <alignment horizontal="right" readingOrder="0" vertical="bottom"/>
    </xf>
    <xf borderId="0" fillId="0" fontId="16" numFmtId="0" xfId="0" applyAlignment="1" applyFont="1">
      <alignment vertical="bottom"/>
    </xf>
    <xf borderId="0" fillId="0" fontId="14" numFmtId="0" xfId="0" applyAlignment="1" applyFont="1">
      <alignment readingOrder="0" vertical="bottom"/>
    </xf>
    <xf borderId="0" fillId="0" fontId="16" numFmtId="10" xfId="0" applyAlignment="1" applyFont="1" applyNumberFormat="1">
      <alignment vertical="bottom"/>
    </xf>
    <xf borderId="8" fillId="0" fontId="17" numFmtId="0" xfId="0" applyAlignment="1" applyBorder="1" applyFont="1">
      <alignment readingOrder="0" vertical="bottom"/>
    </xf>
    <xf borderId="7" fillId="0" fontId="1" numFmtId="0" xfId="0" applyAlignment="1" applyBorder="1" applyFont="1">
      <alignment horizontal="right" readingOrder="0" shrinkToFit="0" vertical="bottom" wrapText="0"/>
    </xf>
    <xf borderId="10" fillId="0" fontId="17" numFmtId="0" xfId="0" applyAlignment="1" applyBorder="1" applyFont="1">
      <alignment horizontal="left" readingOrder="0" shrinkToFit="0" vertical="bottom" wrapText="0"/>
    </xf>
    <xf borderId="10" fillId="0" fontId="11" numFmtId="0" xfId="0" applyBorder="1" applyFont="1"/>
    <xf borderId="11" fillId="0" fontId="11" numFmtId="0" xfId="0" applyBorder="1" applyFont="1"/>
    <xf borderId="8" fillId="0" fontId="17" numFmtId="0" xfId="0" applyAlignment="1" applyBorder="1" applyFont="1">
      <alignment horizontal="left" readingOrder="0" shrinkToFit="0" vertical="bottom" wrapText="0"/>
    </xf>
    <xf borderId="7" fillId="0" fontId="18" numFmtId="0" xfId="0" applyAlignment="1" applyBorder="1" applyFont="1">
      <alignment horizontal="right" readingOrder="0" shrinkToFit="0" vertical="bottom" wrapText="1"/>
    </xf>
    <xf borderId="8" fillId="0" fontId="19"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12" fillId="10" fontId="20" numFmtId="0" xfId="0" applyAlignment="1" applyBorder="1" applyFill="1" applyFont="1">
      <alignment horizontal="right" readingOrder="0" shrinkToFit="0" vertical="center" wrapText="1"/>
    </xf>
    <xf borderId="13" fillId="0" fontId="21" numFmtId="0" xfId="0" applyAlignment="1" applyBorder="1" applyFont="1">
      <alignment readingOrder="0" shrinkToFit="0" vertical="bottom" wrapText="1"/>
    </xf>
    <xf borderId="13" fillId="0" fontId="11" numFmtId="0" xfId="0" applyBorder="1" applyFont="1"/>
    <xf borderId="14" fillId="0" fontId="11" numFmtId="0" xfId="0" applyBorder="1" applyFont="1"/>
    <xf borderId="0" fillId="0" fontId="3" numFmtId="0" xfId="0" applyAlignment="1" applyFont="1">
      <alignment shrinkToFit="0" vertical="center" wrapText="1"/>
    </xf>
    <xf borderId="0" fillId="0" fontId="1" numFmtId="0" xfId="0" applyAlignment="1" applyFont="1">
      <alignment horizontal="left" readingOrder="0" shrinkToFit="0" vertical="bottom" wrapText="0"/>
    </xf>
    <xf borderId="0" fillId="0" fontId="3" numFmtId="0" xfId="0" applyAlignment="1" applyFont="1">
      <alignment readingOrder="0" shrinkToFit="0" vertical="bottom" wrapText="0"/>
    </xf>
    <xf borderId="1" fillId="6" fontId="22" numFmtId="0" xfId="0" applyAlignment="1" applyBorder="1" applyFill="1" applyFont="1">
      <alignment horizontal="center" vertical="bottom"/>
    </xf>
    <xf borderId="7" fillId="0" fontId="3" numFmtId="0" xfId="0" applyAlignment="1" applyBorder="1" applyFont="1">
      <alignment horizontal="left" readingOrder="0" shrinkToFit="0" vertical="top" wrapText="1"/>
    </xf>
    <xf borderId="13" fillId="0" fontId="3"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xf borderId="15" fillId="0" fontId="11" numFmtId="0" xfId="0" applyBorder="1" applyFont="1"/>
    <xf borderId="16" fillId="0" fontId="11" numFmtId="0" xfId="0" applyBorder="1" applyFont="1"/>
    <xf borderId="0" fillId="0" fontId="1" numFmtId="0" xfId="0" applyAlignment="1" applyFont="1">
      <alignment horizontal="center" shrinkToFit="0" vertical="top" wrapText="0"/>
    </xf>
    <xf borderId="7" fillId="0" fontId="17" numFmtId="0" xfId="0" applyAlignment="1" applyBorder="1" applyFont="1">
      <alignment horizontal="left" readingOrder="0" shrinkToFit="0" vertical="top" wrapText="1"/>
    </xf>
    <xf borderId="17" fillId="0" fontId="3" numFmtId="0" xfId="0" applyAlignment="1" applyBorder="1" applyFont="1">
      <alignment horizontal="left" readingOrder="0" shrinkToFit="0" vertical="top" wrapText="1"/>
    </xf>
    <xf borderId="15" fillId="11" fontId="23" numFmtId="0" xfId="0" applyAlignment="1" applyBorder="1" applyFill="1" applyFont="1">
      <alignment readingOrder="0" shrinkToFit="0" vertical="top" wrapText="1"/>
    </xf>
    <xf borderId="0" fillId="0" fontId="3" numFmtId="0" xfId="0" applyAlignment="1" applyFont="1">
      <alignment horizontal="left" readingOrder="0" shrinkToFit="0" vertical="top" wrapText="1"/>
    </xf>
    <xf borderId="18" fillId="0" fontId="3" numFmtId="0" xfId="0" applyAlignment="1" applyBorder="1" applyFont="1">
      <alignment horizontal="left" readingOrder="0" shrinkToFit="0" vertical="top" wrapText="1"/>
    </xf>
    <xf borderId="0" fillId="0" fontId="24" numFmtId="0" xfId="0" applyAlignment="1" applyFont="1">
      <alignment horizontal="left" readingOrder="0" shrinkToFit="0" vertical="bottom" wrapText="0"/>
    </xf>
    <xf borderId="17" fillId="12" fontId="1" numFmtId="0" xfId="0" applyAlignment="1" applyBorder="1" applyFill="1" applyFont="1">
      <alignment horizontal="center" readingOrder="0" shrinkToFit="0" vertical="center" wrapText="0"/>
    </xf>
    <xf borderId="15" fillId="12" fontId="1" numFmtId="0" xfId="0" applyAlignment="1" applyBorder="1" applyFill="1" applyFont="1">
      <alignment horizontal="left" readingOrder="0" shrinkToFit="0" vertical="bottom" wrapText="1"/>
    </xf>
    <xf borderId="7" fillId="0" fontId="3" numFmtId="0" xfId="0" applyAlignment="1" applyBorder="1" applyFont="1">
      <alignment horizontal="left" readingOrder="0" shrinkToFit="0" vertical="bottom" wrapText="0"/>
    </xf>
    <xf borderId="13" fillId="0" fontId="17" numFmtId="0" xfId="0" applyAlignment="1" applyBorder="1" applyFont="1">
      <alignment horizontal="left" readingOrder="0" shrinkToFit="0" vertical="bottom" wrapText="0"/>
    </xf>
    <xf borderId="7" fillId="10" fontId="23" numFmtId="0" xfId="0" applyAlignment="1" applyBorder="1" applyFill="1" applyFont="1">
      <alignment readingOrder="0" shrinkToFit="0" vertical="top" wrapText="1"/>
    </xf>
    <xf borderId="13" fillId="10" fontId="25" numFmtId="0" xfId="0" applyAlignment="1" applyBorder="1" applyFill="1" applyFont="1">
      <alignment shrinkToFit="0" vertical="top" wrapText="1"/>
    </xf>
    <xf borderId="0" fillId="10" fontId="23" numFmtId="0" xfId="0" applyAlignment="1" applyFill="1" applyFont="1">
      <alignment shrinkToFit="0" vertical="top" wrapText="1"/>
    </xf>
    <xf borderId="18" fillId="0" fontId="11" numFmtId="0" xfId="0" applyBorder="1" applyFont="1"/>
    <xf borderId="13" fillId="0" fontId="17" numFmtId="0" xfId="0" applyAlignment="1" applyBorder="1" applyFont="1">
      <alignment readingOrder="0" shrinkToFit="0" vertical="bottom" wrapText="0"/>
    </xf>
    <xf borderId="7" fillId="0" fontId="3" numFmtId="0" xfId="0" applyAlignment="1" applyBorder="1" applyFont="1">
      <alignment horizontal="left" readingOrder="0" shrinkToFit="0" vertical="bottom" wrapText="1"/>
    </xf>
    <xf borderId="8" fillId="0" fontId="17" numFmtId="0" xfId="0" applyAlignment="1" applyBorder="1" applyFont="1">
      <alignment horizontal="left" readingOrder="0" shrinkToFit="0" vertical="bottom" wrapText="1"/>
    </xf>
    <xf borderId="7" fillId="0" fontId="1" numFmtId="0" xfId="0" applyAlignment="1" applyBorder="1" applyFont="1">
      <alignment horizontal="left" readingOrder="0" shrinkToFit="0" vertical="bottom" wrapText="0"/>
    </xf>
    <xf borderId="18" fillId="0" fontId="1" numFmtId="0" xfId="0" applyAlignment="1" applyBorder="1" applyFont="1">
      <alignment horizontal="left" readingOrder="0" shrinkToFit="0" vertical="bottom" wrapText="0"/>
    </xf>
    <xf borderId="0" fillId="0" fontId="24" numFmtId="0" xfId="0" applyAlignment="1" applyFont="1">
      <alignment horizontal="left" readingOrder="0" shrinkToFit="0" vertical="top" wrapText="0"/>
    </xf>
    <xf borderId="7" fillId="0" fontId="3" numFmtId="0" xfId="0" applyAlignment="1" applyBorder="1" applyFont="1">
      <alignment readingOrder="0" vertical="top"/>
    </xf>
    <xf borderId="8" fillId="0" fontId="3" numFmtId="0" xfId="0" applyAlignment="1" applyBorder="1" applyFont="1">
      <alignment horizontal="left" readingOrder="0" shrinkToFit="0" vertical="top" wrapText="1"/>
    </xf>
    <xf borderId="12" fillId="0" fontId="3" numFmtId="0" xfId="0" applyAlignment="1" applyBorder="1" applyFont="1">
      <alignment readingOrder="0" vertical="top"/>
    </xf>
    <xf borderId="8" fillId="0" fontId="1" numFmtId="0" xfId="0" applyAlignment="1" applyBorder="1" applyFont="1">
      <alignment horizontal="left" readingOrder="0" shrinkToFit="0" vertical="bottom" wrapText="0"/>
    </xf>
    <xf borderId="8" fillId="0" fontId="3" numFmtId="0" xfId="0" applyAlignment="1" applyBorder="1" applyFont="1">
      <alignment readingOrder="0" shrinkToFit="0" vertical="bottom" wrapText="0"/>
    </xf>
    <xf borderId="1" fillId="6" fontId="22" numFmtId="0" xfId="0" applyAlignment="1" applyBorder="1" applyFill="1" applyFont="1">
      <alignment horizontal="center" readingOrder="0" vertical="bottom"/>
    </xf>
    <xf borderId="7" fillId="0" fontId="1" numFmtId="0" xfId="0" applyAlignment="1" applyBorder="1" applyFont="1">
      <alignment horizontal="right" readingOrder="0" shrinkToFit="0" vertical="top" wrapText="0"/>
    </xf>
    <xf borderId="19" fillId="0" fontId="26" numFmtId="0" xfId="0" applyAlignment="1" applyBorder="1" applyFont="1">
      <alignment readingOrder="0" vertical="top"/>
    </xf>
    <xf borderId="20" fillId="0" fontId="11" numFmtId="0" xfId="0" applyBorder="1" applyFont="1"/>
    <xf borderId="21" fillId="0" fontId="11" numFmtId="0" xfId="0" applyBorder="1" applyFont="1"/>
    <xf borderId="7"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18" fillId="0" fontId="1" numFmtId="0" xfId="0" applyAlignment="1" applyBorder="1" applyFont="1">
      <alignment horizontal="center" readingOrder="0" shrinkToFit="0" vertical="center" wrapText="0"/>
    </xf>
    <xf borderId="19" fillId="0" fontId="27" numFmtId="0" xfId="0" applyAlignment="1" applyBorder="1" applyFont="1">
      <alignment readingOrder="0" vertical="top"/>
    </xf>
    <xf borderId="12" fillId="0" fontId="28" numFmtId="0" xfId="0" applyAlignment="1" applyBorder="1" applyFont="1">
      <alignment horizontal="right" readingOrder="0" shrinkToFit="0" vertical="top" wrapText="0"/>
    </xf>
    <xf borderId="19" fillId="11" fontId="29" numFmtId="0" xfId="0" applyAlignment="1" applyBorder="1" applyFill="1" applyFont="1">
      <alignment readingOrder="0" vertical="top"/>
    </xf>
    <xf borderId="1" fillId="6" fontId="30" numFmtId="0" xfId="0" applyAlignment="1" applyBorder="1" applyFill="1" applyFont="1">
      <alignment horizontal="center" readingOrder="0" vertical="bottom"/>
    </xf>
    <xf borderId="1" fillId="0" fontId="31" numFmtId="3" xfId="0" applyAlignment="1" applyBorder="1" applyFont="1" applyNumberFormat="1">
      <alignment horizontal="right" readingOrder="0" shrinkToFit="0" vertical="center" wrapText="1"/>
    </xf>
    <xf borderId="1" fillId="0" fontId="23" numFmtId="0" xfId="0" applyAlignment="1" applyBorder="1" applyFont="1">
      <alignment horizontal="right" readingOrder="0"/>
    </xf>
    <xf borderId="2" fillId="0" fontId="23" numFmtId="0" xfId="0" applyAlignment="1" applyBorder="1" applyFont="1">
      <alignment horizontal="left" readingOrder="0"/>
    </xf>
    <xf borderId="3" fillId="0" fontId="23" numFmtId="0" xfId="0" applyAlignment="1" applyBorder="1" applyFont="1">
      <alignment horizontal="right" readingOrder="0"/>
    </xf>
    <xf borderId="2" fillId="0" fontId="28" numFmtId="0" xfId="0" applyAlignment="1" applyBorder="1" applyFont="1">
      <alignment horizontal="right" readingOrder="0" shrinkToFit="0" vertical="center" wrapText="1"/>
    </xf>
    <xf borderId="15" fillId="0" fontId="3" numFmtId="0" xfId="0" applyAlignment="1" applyBorder="1" applyFont="1">
      <alignment horizontal="left" readingOrder="0" shrinkToFit="0" vertical="center" wrapText="1"/>
    </xf>
    <xf borderId="7" fillId="0" fontId="11" numFmtId="0" xfId="0" applyBorder="1" applyFont="1"/>
    <xf borderId="12" fillId="0" fontId="6" numFmtId="0" xfId="0" applyBorder="1" applyFont="1"/>
    <xf borderId="13" fillId="0" fontId="6" numFmtId="0" xfId="0" applyBorder="1" applyFont="1"/>
    <xf borderId="14" fillId="0" fontId="32" numFmtId="4" xfId="0" applyAlignment="1" applyBorder="1" applyFont="1" applyNumberFormat="1">
      <alignment vertical="bottom"/>
    </xf>
    <xf borderId="13" fillId="0" fontId="28" numFmtId="0" xfId="0" applyAlignment="1" applyBorder="1" applyFont="1">
      <alignment horizontal="right" readingOrder="0" shrinkToFit="0" vertical="center" wrapText="1"/>
    </xf>
    <xf borderId="13" fillId="0" fontId="3" numFmtId="3" xfId="0" applyAlignment="1" applyBorder="1" applyFont="1" applyNumberFormat="1">
      <alignment horizontal="left" readingOrder="0" shrinkToFit="0" vertical="center" wrapText="1"/>
    </xf>
    <xf borderId="12" fillId="0" fontId="11" numFmtId="0" xfId="0" applyBorder="1" applyFont="1"/>
    <xf borderId="17" fillId="0" fontId="23" numFmtId="0" xfId="0" applyAlignment="1" applyBorder="1" applyFont="1">
      <alignment horizontal="right" readingOrder="0"/>
    </xf>
    <xf borderId="15" fillId="0" fontId="23" numFmtId="0" xfId="0" applyAlignment="1" applyBorder="1" applyFont="1">
      <alignment horizontal="left" readingOrder="0"/>
    </xf>
    <xf borderId="16" fillId="0" fontId="23" numFmtId="0" xfId="0" applyAlignment="1" applyBorder="1" applyFont="1">
      <alignment horizontal="right" readingOrder="0"/>
    </xf>
    <xf borderId="15" fillId="0" fontId="1" numFmtId="0" xfId="0" applyAlignment="1" applyBorder="1" applyFont="1">
      <alignment horizontal="left" readingOrder="0" shrinkToFit="0" vertical="center" wrapText="1"/>
    </xf>
    <xf borderId="16" fillId="0" fontId="1" numFmtId="0" xfId="0" applyAlignment="1" applyBorder="1" applyFont="1">
      <alignment horizontal="center" readingOrder="0" shrinkToFit="0" vertical="center" wrapText="1"/>
    </xf>
    <xf borderId="0" fillId="0" fontId="22" numFmtId="0" xfId="0" applyAlignment="1" applyFont="1">
      <alignment horizontal="center" readingOrder="0" vertical="bottom"/>
    </xf>
    <xf borderId="22" fillId="12" fontId="1" numFmtId="0" xfId="0" applyAlignment="1" applyBorder="1" applyFill="1" applyFont="1">
      <alignment horizontal="center" readingOrder="0" shrinkToFit="0" vertical="center" wrapText="0"/>
    </xf>
    <xf borderId="23" fillId="12" fontId="1" numFmtId="0" xfId="0" applyAlignment="1" applyBorder="1" applyFill="1" applyFont="1">
      <alignment horizontal="center" readingOrder="0" vertical="center"/>
    </xf>
    <xf borderId="24" fillId="0" fontId="11" numFmtId="0" xfId="0" applyBorder="1" applyFont="1"/>
    <xf borderId="22" fillId="0" fontId="1" numFmtId="0" xfId="0" applyAlignment="1" applyBorder="1" applyFont="1">
      <alignment horizontal="center" vertical="center"/>
    </xf>
    <xf borderId="23" fillId="0" fontId="1" numFmtId="0" xfId="0" applyAlignment="1" applyBorder="1" applyFont="1">
      <alignment horizontal="center" readingOrder="0" vertical="center"/>
    </xf>
    <xf borderId="23" fillId="0" fontId="1" numFmtId="4" xfId="0" applyAlignment="1" applyBorder="1" applyFont="1" applyNumberFormat="1">
      <alignment horizontal="right" readingOrder="0" shrinkToFit="0" vertical="center" wrapText="0"/>
    </xf>
    <xf borderId="22" fillId="0" fontId="1" numFmtId="0" xfId="0" applyAlignment="1" applyBorder="1" applyFont="1">
      <alignment horizontal="center" readingOrder="0" vertical="center"/>
    </xf>
    <xf borderId="8" fillId="0" fontId="33" numFmtId="0" xfId="0" applyAlignment="1" applyBorder="1" applyFont="1">
      <alignment horizontal="left" readingOrder="0" shrinkToFit="0" vertical="center" wrapText="1"/>
    </xf>
    <xf borderId="25" fillId="0" fontId="11" numFmtId="0" xfId="0" applyBorder="1" applyFont="1"/>
    <xf borderId="26" fillId="12" fontId="1" numFmtId="0" xfId="0" applyAlignment="1" applyBorder="1" applyFill="1" applyFont="1">
      <alignment horizontal="center" readingOrder="0" shrinkToFit="0" vertical="center" wrapText="0"/>
    </xf>
    <xf borderId="17" fillId="12" fontId="1" numFmtId="0" xfId="0" applyAlignment="1" applyBorder="1" applyFill="1" applyFont="1">
      <alignment horizontal="center" readingOrder="0" vertical="center"/>
    </xf>
    <xf borderId="26" fillId="12" fontId="1" numFmtId="0" xfId="0" applyAlignment="1" applyBorder="1" applyFill="1" applyFont="1">
      <alignment horizontal="center" readingOrder="0" shrinkToFit="0" vertical="center" wrapText="1"/>
    </xf>
    <xf borderId="26" fillId="12" fontId="1" numFmtId="0" xfId="0" applyAlignment="1" applyBorder="1" applyFill="1" applyFont="1">
      <alignment horizontal="center" readingOrder="0" vertical="center"/>
    </xf>
    <xf borderId="26" fillId="0" fontId="1" numFmtId="0" xfId="0" applyAlignment="1" applyBorder="1" applyFont="1">
      <alignment horizontal="center" readingOrder="0" vertical="center"/>
    </xf>
    <xf borderId="17" fillId="0" fontId="1" numFmtId="0" xfId="0" applyAlignment="1" applyBorder="1" applyFont="1">
      <alignment horizontal="center" readingOrder="0" shrinkToFit="0" vertical="center" wrapText="1"/>
    </xf>
    <xf borderId="26" fillId="0" fontId="1" numFmtId="4" xfId="0" applyAlignment="1" applyBorder="1" applyFont="1" applyNumberFormat="1">
      <alignment horizontal="right" readingOrder="0" shrinkToFit="0" vertical="center" wrapText="0"/>
    </xf>
    <xf borderId="26" fillId="0" fontId="34" numFmtId="4" xfId="0" applyAlignment="1" applyBorder="1" applyFont="1" applyNumberFormat="1">
      <alignment horizontal="right" readingOrder="0" shrinkToFit="0" vertical="center" wrapText="0"/>
    </xf>
    <xf borderId="26" fillId="0" fontId="1" numFmtId="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1"/>
    </xf>
    <xf borderId="27" fillId="0" fontId="1" numFmtId="4" xfId="0" applyAlignment="1" applyBorder="1" applyFont="1" applyNumberFormat="1">
      <alignment horizontal="center" readingOrder="0" shrinkToFit="0" vertical="center" wrapText="0"/>
    </xf>
    <xf borderId="17" fillId="0" fontId="1" numFmtId="0" xfId="0" applyAlignment="1" applyBorder="1" applyFont="1">
      <alignment horizontal="center" readingOrder="0" vertical="center"/>
    </xf>
    <xf borderId="17" fillId="0" fontId="3" numFmtId="0" xfId="0" applyAlignment="1" applyBorder="1" applyFont="1">
      <alignment horizontal="center" readingOrder="0" shrinkToFit="0" vertical="center" wrapText="1"/>
    </xf>
    <xf borderId="15" fillId="0" fontId="33" numFmtId="0" xfId="0" applyAlignment="1" applyBorder="1" applyFont="1">
      <alignment horizontal="left" readingOrder="0" shrinkToFit="0" vertical="center" wrapText="1"/>
    </xf>
    <xf borderId="0" fillId="0" fontId="35" numFmtId="0" xfId="0" applyAlignment="1" applyFont="1">
      <alignment horizontal="center" readingOrder="0" shrinkToFit="0" vertical="center" wrapText="0"/>
    </xf>
    <xf borderId="0" fillId="0" fontId="1" numFmtId="0" xfId="0" applyAlignment="1" applyFont="1">
      <alignment horizontal="right" readingOrder="0" shrinkToFit="0" vertical="center" wrapText="1"/>
    </xf>
    <xf borderId="0" fillId="0" fontId="3" numFmtId="0" xfId="0" applyAlignment="1" applyFont="1">
      <alignment horizontal="right" readingOrder="0" shrinkToFit="0" vertical="bottom" wrapText="0"/>
    </xf>
    <xf borderId="8" fillId="0" fontId="20" numFmtId="165" xfId="0" applyAlignment="1" applyBorder="1" applyFont="1" applyNumberFormat="1">
      <alignment horizontal="center" readingOrder="0" vertical="bottom"/>
    </xf>
    <xf borderId="0" fillId="0" fontId="36" numFmtId="0" xfId="0" applyAlignment="1" applyFont="1">
      <alignment horizontal="left" readingOrder="0" shrinkToFit="0" vertical="bottom" wrapText="0"/>
    </xf>
    <xf borderId="0" fillId="0" fontId="37" numFmtId="0" xfId="0" applyAlignment="1" applyFont="1">
      <alignment horizontal="left" readingOrder="0" shrinkToFit="0" vertical="center" wrapText="1"/>
    </xf>
    <xf borderId="0" fillId="0" fontId="38" numFmtId="0" xfId="0" applyAlignment="1" applyFont="1">
      <alignment horizontal="center" readingOrder="0" vertical="bottom"/>
    </xf>
    <xf borderId="7" fillId="12" fontId="1" numFmtId="0" xfId="0" applyAlignment="1" applyBorder="1" applyFill="1" applyFont="1">
      <alignment horizontal="center" readingOrder="0" shrinkToFit="0" vertical="top" wrapText="1"/>
    </xf>
    <xf borderId="23" fillId="0" fontId="29" numFmtId="0" xfId="0" applyAlignment="1" applyBorder="1" applyFont="1">
      <alignment horizontal="left" readingOrder="0" shrinkToFit="0" vertical="top" wrapText="1"/>
    </xf>
    <xf borderId="23" fillId="0" fontId="3" numFmtId="0" xfId="0" applyAlignment="1" applyBorder="1" applyFont="1">
      <alignment horizontal="left" readingOrder="0" shrinkToFit="0" vertical="top" wrapText="1"/>
    </xf>
    <xf borderId="12" fillId="12" fontId="1" numFmtId="0" xfId="0" applyAlignment="1" applyBorder="1" applyFill="1" applyFont="1">
      <alignment horizontal="center" readingOrder="0" shrinkToFit="0" vertical="top" wrapText="1"/>
    </xf>
    <xf borderId="19" fillId="0" fontId="3" numFmtId="0" xfId="0" applyAlignment="1" applyBorder="1" applyFont="1">
      <alignment readingOrder="0" shrinkToFit="0" vertical="top" wrapText="1"/>
    </xf>
    <xf borderId="0" fillId="0" fontId="1" numFmtId="0" xfId="0" applyAlignment="1" applyFont="1">
      <alignment horizontal="center" readingOrder="0" shrinkToFit="0" vertical="top" wrapText="0"/>
    </xf>
    <xf borderId="17" fillId="13" fontId="9" numFmtId="0" xfId="0" applyAlignment="1" applyBorder="1" applyFill="1" applyFont="1">
      <alignment horizontal="center" readingOrder="0" shrinkToFit="0" vertical="center" wrapText="1"/>
    </xf>
    <xf borderId="17" fillId="0" fontId="39" numFmtId="0" xfId="0" applyAlignment="1" applyBorder="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ci.kku.ac.th/budgetrequest/storage/1762486274_image.pdf" TargetMode="External"/><Relationship Id="rId3" Type="http://schemas.openxmlformats.org/officeDocument/2006/relationships/hyperlink" Target="https://drive.google.com/file/d/1zgpGKcHHEaOhCOvuOrbDJ4gCqVYar2LJ/view?usp=drive_link" TargetMode="External"/><Relationship Id="rId4" Type="http://schemas.openxmlformats.org/officeDocument/2006/relationships/hyperlink" Target="https://drive.google.com/file/d/1LMG6wjsfPkJoiQazV8KEvF3Kw0EuthN1/view?usp=sharing"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rive.google.com/file/d/1zMJyJOD8wdiiLpSCUtPn2bD70077EP1I/view?usp=drive_link" TargetMode="External"/><Relationship Id="rId5" Type="http://schemas.openxmlformats.org/officeDocument/2006/relationships/hyperlink" Target="https://www.canva.com/design/DAGx-4GaAIA/9rV-jpsp8MvR5zbKd6_JbQ/view?utm_content=DAGx-4GaAIA&amp;utm_campaign=designshare&amp;utm_medium=link2&amp;utm_source=uniquelinks&amp;utlId=h443de154a9" TargetMode="External"/><Relationship Id="rId6" Type="http://schemas.openxmlformats.org/officeDocument/2006/relationships/hyperlink" Target="https://notebooklm.google.com/notebook/9fdba166-f7b5-421e-b3db-0ee52b58ef94" TargetMode="External"/><Relationship Id="rId7" Type="http://schemas.openxmlformats.org/officeDocument/2006/relationships/hyperlink" Target="https://kku.world/spaces" TargetMode="External"/><Relationship Id="rId8" Type="http://schemas.openxmlformats.org/officeDocument/2006/relationships/hyperlink" Target="https://www.doa.go.th/apsrdo/wp-content/uploads/2025/03/%E0%B8%A3%E0%B8%B2%E0%B8%84%E0%B8%B2%E0%B8%81%E0%B8%A5%E0%B8%B2%E0%B8%87-%E0%B8%9A%E0%B8%81.06.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5.13"/>
    <col customWidth="1" min="2" max="2" width="29.88"/>
    <col customWidth="1" min="3" max="3" width="4.75"/>
    <col customWidth="1" min="4" max="4" width="13.63"/>
    <col customWidth="1" min="5" max="5" width="10.5"/>
    <col customWidth="1" min="7" max="7" width="13.38"/>
    <col customWidth="1" min="8" max="8" width="21.38"/>
    <col customWidth="1" min="9" max="9" width="20.38"/>
    <col customWidth="1" min="10" max="10" width="8.38"/>
  </cols>
  <sheetData>
    <row r="1">
      <c r="A1" s="1"/>
      <c r="B1" s="1"/>
      <c r="C1" s="3"/>
      <c r="D1" s="3"/>
      <c r="E1" s="5"/>
      <c r="F1" s="5"/>
      <c r="G1" s="5"/>
      <c r="H1" s="5"/>
      <c r="I1" s="7"/>
      <c r="J1" s="9"/>
    </row>
    <row r="2">
      <c r="A2" s="10"/>
      <c r="B2" s="12" t="str">
        <f>IFERROR(__xludf.DUMMYFUNCTION("IMPORTRANGE(Settings!A1,""General!A11"")"),"รายละเอียดรายการครุภัณฑ์ ประจำปีงบประมาณ พ.ศ. 2570")</f>
        <v>รายละเอียดรายการครุภัณฑ์ ประจำปีงบประมาณ พ.ศ. 2570</v>
      </c>
      <c r="J2" s="10"/>
    </row>
    <row r="3">
      <c r="A3" s="13"/>
    </row>
    <row r="4">
      <c r="A4" s="13">
        <v>1.0</v>
      </c>
      <c r="B4" s="16" t="s">
        <v>6</v>
      </c>
      <c r="C4" s="18"/>
      <c r="D4" s="18"/>
      <c r="E4" s="18"/>
      <c r="F4" s="18"/>
      <c r="G4" s="18"/>
      <c r="H4" s="18"/>
      <c r="I4" s="20"/>
      <c r="J4" s="3"/>
    </row>
    <row r="5">
      <c r="A5" s="13"/>
      <c r="B5" s="23" t="s">
        <v>10</v>
      </c>
      <c r="C5" s="34" t="s">
        <v>34</v>
      </c>
      <c r="D5" s="36"/>
      <c r="E5" s="36"/>
      <c r="F5" s="36"/>
      <c r="G5" s="36"/>
      <c r="H5" s="36"/>
      <c r="I5" s="37"/>
      <c r="J5" s="3"/>
    </row>
    <row r="6">
      <c r="A6" s="13"/>
      <c r="B6" s="38" t="s">
        <v>46</v>
      </c>
      <c r="C6" s="40" t="s">
        <v>50</v>
      </c>
      <c r="D6" s="41"/>
      <c r="E6" s="41"/>
      <c r="F6" s="41"/>
      <c r="G6" s="41"/>
      <c r="H6" s="41"/>
      <c r="I6" s="43"/>
      <c r="J6" s="3"/>
    </row>
    <row r="7">
      <c r="A7" s="13"/>
      <c r="B7" s="38" t="s">
        <v>56</v>
      </c>
      <c r="C7" s="44">
        <v>1.0</v>
      </c>
      <c r="D7" s="41"/>
      <c r="E7" s="45" t="s">
        <v>63</v>
      </c>
      <c r="F7" s="46" t="s">
        <v>67</v>
      </c>
      <c r="H7" s="44">
        <v>1.0E7</v>
      </c>
      <c r="I7" s="43"/>
      <c r="J7" s="3"/>
    </row>
    <row r="8">
      <c r="A8" s="1"/>
      <c r="B8" s="48" t="s">
        <v>76</v>
      </c>
      <c r="C8" s="44">
        <v>1.0E7</v>
      </c>
      <c r="D8" s="41"/>
      <c r="E8" s="41"/>
      <c r="F8" s="41"/>
      <c r="G8" s="41"/>
      <c r="H8" s="41"/>
      <c r="I8" s="43"/>
      <c r="J8" s="3"/>
    </row>
    <row r="9">
      <c r="A9" s="13"/>
      <c r="B9" s="38" t="s">
        <v>77</v>
      </c>
      <c r="C9" s="52" t="s">
        <v>78</v>
      </c>
      <c r="D9" s="41"/>
      <c r="E9" s="41"/>
      <c r="F9" s="41"/>
      <c r="G9" s="41"/>
      <c r="H9" s="41"/>
      <c r="I9" s="43"/>
      <c r="J9" s="3"/>
    </row>
    <row r="10">
      <c r="A10" s="13"/>
      <c r="B10" s="38" t="s">
        <v>79</v>
      </c>
      <c r="C10" s="52" t="s">
        <v>80</v>
      </c>
      <c r="D10" s="41"/>
      <c r="E10" s="41"/>
      <c r="F10" s="41"/>
      <c r="G10" s="41"/>
      <c r="H10" s="41"/>
      <c r="I10" s="43"/>
      <c r="J10" s="3"/>
    </row>
    <row r="11">
      <c r="A11" s="13"/>
      <c r="B11" s="38" t="s">
        <v>81</v>
      </c>
      <c r="C11" s="52" t="s">
        <v>82</v>
      </c>
      <c r="D11" s="41"/>
      <c r="E11" s="41"/>
      <c r="F11" s="41"/>
      <c r="G11" s="41"/>
      <c r="H11" s="41"/>
      <c r="I11" s="43"/>
      <c r="J11" s="3"/>
    </row>
    <row r="12">
      <c r="A12" s="13"/>
      <c r="B12" s="53" t="s">
        <v>83</v>
      </c>
      <c r="C12" s="54" t="s">
        <v>84</v>
      </c>
      <c r="D12" s="55"/>
      <c r="E12" s="55"/>
      <c r="F12" s="55"/>
      <c r="G12" s="55"/>
      <c r="H12" s="55"/>
      <c r="I12" s="56"/>
      <c r="J12" s="3"/>
    </row>
    <row r="13">
      <c r="A13" s="13"/>
      <c r="B13" s="53" t="s">
        <v>85</v>
      </c>
      <c r="C13" s="54" t="s">
        <v>86</v>
      </c>
      <c r="D13" s="55"/>
      <c r="E13" s="55"/>
      <c r="F13" s="55"/>
      <c r="G13" s="55"/>
      <c r="H13" s="55"/>
      <c r="I13" s="56"/>
      <c r="J13" s="3"/>
    </row>
    <row r="14">
      <c r="A14" s="13"/>
      <c r="B14" s="53" t="s">
        <v>87</v>
      </c>
      <c r="C14" s="57" t="s">
        <v>88</v>
      </c>
      <c r="D14" s="41"/>
      <c r="E14" s="41"/>
      <c r="F14" s="41"/>
      <c r="G14" s="41"/>
      <c r="H14" s="41"/>
      <c r="I14" s="43"/>
      <c r="J14" s="3"/>
    </row>
    <row r="15">
      <c r="A15" s="13"/>
      <c r="B15" s="58" t="s">
        <v>89</v>
      </c>
      <c r="C15" s="59" t="s">
        <v>90</v>
      </c>
      <c r="D15" s="41"/>
      <c r="E15" s="41"/>
      <c r="F15" s="41"/>
      <c r="G15" s="41"/>
      <c r="H15" s="41"/>
      <c r="I15" s="43"/>
      <c r="J15" s="3"/>
    </row>
    <row r="16">
      <c r="A16" s="60"/>
      <c r="B16" s="61" t="s">
        <v>91</v>
      </c>
      <c r="C16" s="62" t="s">
        <v>92</v>
      </c>
      <c r="D16" s="63"/>
      <c r="E16" s="63"/>
      <c r="F16" s="63"/>
      <c r="G16" s="63"/>
      <c r="H16" s="63"/>
      <c r="I16" s="64"/>
      <c r="J16" s="65"/>
    </row>
    <row r="17">
      <c r="A17" s="13"/>
      <c r="B17" s="66"/>
      <c r="C17" s="67"/>
      <c r="D17" s="66"/>
      <c r="E17" s="66"/>
      <c r="F17" s="66"/>
      <c r="G17" s="66"/>
      <c r="H17" s="66"/>
      <c r="I17" s="66"/>
      <c r="J17" s="3"/>
    </row>
    <row r="18">
      <c r="A18" s="13">
        <v>2.0</v>
      </c>
      <c r="B18" s="68" t="s">
        <v>93</v>
      </c>
      <c r="C18" s="18"/>
      <c r="D18" s="18"/>
      <c r="E18" s="18"/>
      <c r="F18" s="18"/>
      <c r="G18" s="18"/>
      <c r="H18" s="18"/>
      <c r="I18" s="20"/>
      <c r="J18" s="3"/>
    </row>
    <row r="19">
      <c r="A19" s="13"/>
      <c r="B19" s="69" t="s">
        <v>94</v>
      </c>
      <c r="C19" s="70" t="s">
        <v>95</v>
      </c>
      <c r="D19" s="63"/>
      <c r="E19" s="63"/>
      <c r="F19" s="63"/>
      <c r="G19" s="63"/>
      <c r="H19" s="63"/>
      <c r="I19" s="64"/>
      <c r="J19" s="3"/>
    </row>
    <row r="20">
      <c r="A20" s="13"/>
      <c r="B20" s="69" t="s">
        <v>96</v>
      </c>
      <c r="C20" s="71" t="s">
        <v>97</v>
      </c>
      <c r="D20" s="72"/>
      <c r="E20" s="72"/>
      <c r="F20" s="72"/>
      <c r="G20" s="72"/>
      <c r="H20" s="72"/>
      <c r="I20" s="73"/>
      <c r="J20" s="3"/>
    </row>
    <row r="21">
      <c r="A21" s="74"/>
      <c r="B21" s="69" t="s">
        <v>98</v>
      </c>
      <c r="C21" s="71" t="s">
        <v>99</v>
      </c>
      <c r="D21" s="72"/>
      <c r="E21" s="72"/>
      <c r="F21" s="72"/>
      <c r="G21" s="72"/>
      <c r="H21" s="72"/>
      <c r="I21" s="73"/>
      <c r="J21" s="67"/>
    </row>
    <row r="22">
      <c r="A22" s="74"/>
      <c r="B22" s="75" t="s">
        <v>100</v>
      </c>
      <c r="C22" s="76" t="s">
        <v>101</v>
      </c>
      <c r="D22" s="72"/>
      <c r="E22" s="72"/>
      <c r="F22" s="72"/>
      <c r="G22" s="72"/>
      <c r="H22" s="72"/>
      <c r="I22" s="73"/>
      <c r="J22" s="67"/>
    </row>
    <row r="23">
      <c r="A23" s="74"/>
      <c r="B23" s="69" t="s">
        <v>102</v>
      </c>
      <c r="C23" s="77"/>
      <c r="D23" s="72"/>
      <c r="E23" s="72"/>
      <c r="F23" s="72"/>
      <c r="G23" s="72"/>
      <c r="H23" s="72"/>
      <c r="I23" s="73"/>
      <c r="J23" s="67"/>
    </row>
    <row r="24">
      <c r="A24" s="74"/>
      <c r="B24" s="69" t="s">
        <v>103</v>
      </c>
      <c r="C24" s="71" t="s">
        <v>104</v>
      </c>
      <c r="D24" s="72"/>
      <c r="E24" s="72"/>
      <c r="F24" s="72"/>
      <c r="G24" s="72"/>
      <c r="H24" s="72"/>
      <c r="I24" s="73"/>
      <c r="J24" s="67"/>
    </row>
    <row r="25">
      <c r="A25" s="74"/>
      <c r="B25" s="69"/>
      <c r="C25" s="78"/>
      <c r="D25" s="78"/>
      <c r="E25" s="78"/>
      <c r="F25" s="78"/>
      <c r="G25" s="78"/>
      <c r="H25" s="78"/>
      <c r="I25" s="79"/>
      <c r="J25" s="67"/>
    </row>
    <row r="26" hidden="1">
      <c r="A26" s="80" t="s">
        <v>105</v>
      </c>
      <c r="B26" s="81" t="b">
        <v>0</v>
      </c>
      <c r="C26" s="82" t="s">
        <v>106</v>
      </c>
      <c r="D26" s="72"/>
      <c r="E26" s="72"/>
      <c r="F26" s="72"/>
      <c r="G26" s="72"/>
      <c r="H26" s="72"/>
      <c r="I26" s="73"/>
      <c r="J26" s="3"/>
    </row>
    <row r="27" hidden="1">
      <c r="A27" s="80" t="s">
        <v>105</v>
      </c>
      <c r="B27" s="83" t="s">
        <v>107</v>
      </c>
      <c r="C27" s="84"/>
      <c r="D27" s="63"/>
      <c r="E27" s="63"/>
      <c r="F27" s="63"/>
      <c r="G27" s="63"/>
      <c r="H27" s="63"/>
      <c r="I27" s="64"/>
      <c r="J27" s="3"/>
    </row>
    <row r="28" hidden="1">
      <c r="A28" s="80" t="s">
        <v>105</v>
      </c>
      <c r="B28" s="85" t="s">
        <v>108</v>
      </c>
      <c r="C28" s="86"/>
      <c r="D28" s="63"/>
      <c r="E28" s="87" t="s">
        <v>109</v>
      </c>
      <c r="I28" s="88"/>
      <c r="J28" s="3"/>
    </row>
    <row r="29" hidden="1">
      <c r="A29" s="80" t="s">
        <v>105</v>
      </c>
      <c r="B29" s="83" t="s">
        <v>110</v>
      </c>
      <c r="C29" s="89"/>
      <c r="D29" s="63"/>
      <c r="E29" s="63"/>
      <c r="F29" s="63"/>
      <c r="G29" s="63"/>
      <c r="H29" s="63"/>
      <c r="I29" s="64"/>
      <c r="J29" s="3"/>
    </row>
    <row r="30" hidden="1">
      <c r="A30" s="80" t="s">
        <v>105</v>
      </c>
      <c r="B30" s="90" t="s">
        <v>111</v>
      </c>
      <c r="D30" s="91"/>
      <c r="E30" s="41"/>
      <c r="F30" s="41"/>
      <c r="G30" s="41"/>
      <c r="H30" s="41"/>
      <c r="I30" s="43"/>
      <c r="J30" s="3"/>
    </row>
    <row r="31" hidden="1">
      <c r="A31" s="80" t="s">
        <v>105</v>
      </c>
      <c r="B31" s="92"/>
      <c r="C31" s="67"/>
      <c r="D31" s="66"/>
      <c r="E31" s="66"/>
      <c r="F31" s="66"/>
      <c r="G31" s="66"/>
      <c r="H31" s="66"/>
      <c r="I31" s="93"/>
      <c r="J31" s="3"/>
    </row>
    <row r="32">
      <c r="A32" s="94" t="s">
        <v>84</v>
      </c>
      <c r="B32" s="81" t="b">
        <v>1</v>
      </c>
      <c r="C32" s="82" t="s">
        <v>112</v>
      </c>
      <c r="D32" s="72"/>
      <c r="E32" s="72"/>
      <c r="F32" s="72"/>
      <c r="G32" s="72"/>
      <c r="H32" s="72"/>
      <c r="I32" s="73"/>
      <c r="J32" s="67"/>
    </row>
    <row r="33">
      <c r="A33" s="94" t="s">
        <v>84</v>
      </c>
      <c r="B33" s="69" t="s">
        <v>113</v>
      </c>
      <c r="C33" s="70" t="s">
        <v>114</v>
      </c>
      <c r="D33" s="63"/>
      <c r="E33" s="63"/>
      <c r="F33" s="63"/>
      <c r="G33" s="63"/>
      <c r="H33" s="63"/>
      <c r="I33" s="64"/>
      <c r="J33" s="67"/>
    </row>
    <row r="34">
      <c r="A34" s="94" t="s">
        <v>84</v>
      </c>
      <c r="B34" s="69"/>
      <c r="C34" s="78"/>
      <c r="D34" s="78"/>
      <c r="E34" s="78"/>
      <c r="F34" s="78"/>
      <c r="G34" s="78"/>
      <c r="H34" s="78"/>
      <c r="I34" s="79"/>
      <c r="J34" s="67"/>
    </row>
    <row r="35" hidden="1">
      <c r="A35" s="94" t="s">
        <v>115</v>
      </c>
      <c r="B35" s="81" t="b">
        <v>1</v>
      </c>
      <c r="C35" s="82" t="s">
        <v>116</v>
      </c>
      <c r="D35" s="72"/>
      <c r="E35" s="72"/>
      <c r="F35" s="72"/>
      <c r="G35" s="72"/>
      <c r="H35" s="72"/>
      <c r="I35" s="73"/>
      <c r="J35" s="67"/>
    </row>
    <row r="36" hidden="1">
      <c r="A36" s="94" t="s">
        <v>115</v>
      </c>
      <c r="B36" s="95" t="s">
        <v>113</v>
      </c>
      <c r="C36" s="78"/>
      <c r="I36" s="88"/>
      <c r="J36" s="67"/>
    </row>
    <row r="37" hidden="1">
      <c r="A37" s="94" t="s">
        <v>117</v>
      </c>
      <c r="B37" s="81" t="b">
        <v>0</v>
      </c>
      <c r="C37" s="82" t="s">
        <v>118</v>
      </c>
      <c r="D37" s="72"/>
      <c r="E37" s="72"/>
      <c r="F37" s="72"/>
      <c r="G37" s="72"/>
      <c r="H37" s="72"/>
      <c r="I37" s="73"/>
      <c r="J37" s="67"/>
    </row>
    <row r="38" hidden="1">
      <c r="A38" s="94" t="s">
        <v>117</v>
      </c>
      <c r="B38" s="95" t="s">
        <v>119</v>
      </c>
      <c r="C38" s="96"/>
      <c r="D38" s="41"/>
      <c r="E38" s="41"/>
      <c r="F38" s="41"/>
      <c r="G38" s="41"/>
      <c r="H38" s="41"/>
      <c r="I38" s="43"/>
      <c r="J38" s="67"/>
    </row>
    <row r="39" hidden="1">
      <c r="A39" s="94" t="s">
        <v>117</v>
      </c>
      <c r="B39" s="97" t="s">
        <v>113</v>
      </c>
      <c r="C39" s="70"/>
      <c r="D39" s="63"/>
      <c r="E39" s="63"/>
      <c r="F39" s="63"/>
      <c r="G39" s="63"/>
      <c r="H39" s="63"/>
      <c r="I39" s="64"/>
      <c r="J39" s="67"/>
    </row>
    <row r="40">
      <c r="A40" s="13"/>
      <c r="B40" s="98"/>
      <c r="C40" s="99"/>
      <c r="D40" s="98"/>
      <c r="E40" s="98"/>
      <c r="F40" s="98"/>
      <c r="G40" s="98"/>
      <c r="H40" s="98"/>
      <c r="I40" s="98"/>
      <c r="J40" s="3"/>
    </row>
    <row r="41">
      <c r="A41" s="13">
        <v>3.0</v>
      </c>
      <c r="B41" s="100" t="s">
        <v>120</v>
      </c>
      <c r="C41" s="18"/>
      <c r="D41" s="18"/>
      <c r="E41" s="18"/>
      <c r="F41" s="18"/>
      <c r="G41" s="18"/>
      <c r="H41" s="18"/>
      <c r="I41" s="20"/>
      <c r="J41" s="3"/>
    </row>
    <row r="42">
      <c r="A42" s="13"/>
      <c r="B42" s="101" t="s">
        <v>121</v>
      </c>
      <c r="D42" s="102" t="s">
        <v>122</v>
      </c>
      <c r="E42" s="103"/>
      <c r="F42" s="103"/>
      <c r="G42" s="103"/>
      <c r="H42" s="103"/>
      <c r="I42" s="104"/>
      <c r="J42" s="3"/>
    </row>
    <row r="43">
      <c r="A43" s="13"/>
      <c r="B43" s="92"/>
      <c r="C43" s="66"/>
      <c r="D43" s="66"/>
      <c r="E43" s="66"/>
      <c r="F43" s="66"/>
      <c r="G43" s="66"/>
      <c r="H43" s="66"/>
      <c r="I43" s="93"/>
      <c r="J43" s="3"/>
    </row>
    <row r="44">
      <c r="A44" s="1"/>
      <c r="B44" s="101" t="s">
        <v>123</v>
      </c>
      <c r="D44" s="102" t="s">
        <v>124</v>
      </c>
      <c r="E44" s="103"/>
      <c r="F44" s="103"/>
      <c r="G44" s="103"/>
      <c r="H44" s="103"/>
      <c r="I44" s="104"/>
      <c r="J44" s="3"/>
    </row>
    <row r="45">
      <c r="A45" s="13"/>
      <c r="B45" s="105"/>
      <c r="C45" s="106"/>
      <c r="D45" s="106"/>
      <c r="E45" s="106"/>
      <c r="F45" s="106"/>
      <c r="G45" s="106"/>
      <c r="H45" s="106"/>
      <c r="I45" s="107"/>
      <c r="J45" s="3"/>
    </row>
    <row r="46">
      <c r="A46" s="13"/>
      <c r="B46" s="101" t="s">
        <v>125</v>
      </c>
      <c r="C46" s="88"/>
      <c r="D46" s="108" t="s">
        <v>126</v>
      </c>
      <c r="E46" s="103"/>
      <c r="F46" s="103"/>
      <c r="G46" s="103"/>
      <c r="H46" s="103"/>
      <c r="I46" s="104"/>
      <c r="J46" s="3"/>
    </row>
    <row r="47">
      <c r="A47" s="13"/>
      <c r="B47" s="105"/>
      <c r="C47" s="106"/>
      <c r="D47" s="106"/>
      <c r="E47" s="106"/>
      <c r="F47" s="106"/>
      <c r="G47" s="106"/>
      <c r="H47" s="106"/>
      <c r="I47" s="107"/>
      <c r="J47" s="3"/>
    </row>
    <row r="48">
      <c r="A48" s="13"/>
      <c r="B48" s="109" t="s">
        <v>127</v>
      </c>
      <c r="C48" s="63"/>
      <c r="D48" s="110" t="s">
        <v>128</v>
      </c>
      <c r="E48" s="103"/>
      <c r="F48" s="103"/>
      <c r="G48" s="103"/>
      <c r="H48" s="103"/>
      <c r="I48" s="104"/>
      <c r="J48" s="3"/>
    </row>
    <row r="49">
      <c r="A49" s="13"/>
      <c r="B49" s="106"/>
      <c r="C49" s="106"/>
      <c r="D49" s="106"/>
      <c r="E49" s="106"/>
      <c r="F49" s="106"/>
      <c r="G49" s="106"/>
      <c r="H49" s="106"/>
      <c r="I49" s="106"/>
      <c r="J49" s="3"/>
    </row>
    <row r="50">
      <c r="A50" s="13">
        <v>4.0</v>
      </c>
      <c r="B50" s="111" t="s">
        <v>129</v>
      </c>
      <c r="C50" s="18"/>
      <c r="D50" s="18"/>
      <c r="E50" s="18"/>
      <c r="F50" s="18"/>
      <c r="G50" s="18"/>
      <c r="H50" s="18"/>
      <c r="I50" s="20"/>
      <c r="J50" s="3"/>
    </row>
    <row r="51">
      <c r="A51" s="13"/>
      <c r="B51" s="112" t="s">
        <v>130</v>
      </c>
      <c r="C51" s="113" t="b">
        <v>0</v>
      </c>
      <c r="D51" s="114" t="s">
        <v>131</v>
      </c>
      <c r="E51" s="115"/>
      <c r="F51" s="116" t="s">
        <v>132</v>
      </c>
      <c r="G51" s="18"/>
      <c r="H51" s="117"/>
      <c r="I51" s="73"/>
      <c r="J51" s="3"/>
    </row>
    <row r="52">
      <c r="A52" s="13"/>
      <c r="B52" s="118"/>
      <c r="C52" s="119"/>
      <c r="D52" s="120"/>
      <c r="E52" s="121"/>
      <c r="F52" s="122" t="s">
        <v>67</v>
      </c>
      <c r="G52" s="63"/>
      <c r="H52" s="123"/>
      <c r="I52" s="64"/>
      <c r="J52" s="3"/>
    </row>
    <row r="53">
      <c r="A53" s="13"/>
      <c r="B53" s="124"/>
      <c r="C53" s="125" t="b">
        <v>1</v>
      </c>
      <c r="D53" s="126" t="s">
        <v>133</v>
      </c>
      <c r="E53" s="127"/>
      <c r="F53" s="128"/>
      <c r="G53" s="128"/>
      <c r="H53" s="128"/>
      <c r="I53" s="129"/>
      <c r="J53" s="3"/>
    </row>
    <row r="54">
      <c r="A54" s="13"/>
      <c r="B54" s="130"/>
      <c r="C54" s="130"/>
      <c r="D54" s="130"/>
      <c r="E54" s="130"/>
      <c r="F54" s="130"/>
      <c r="G54" s="130"/>
      <c r="H54" s="130"/>
      <c r="I54" s="130"/>
      <c r="J54" s="3"/>
    </row>
    <row r="55">
      <c r="A55" s="13">
        <v>5.0</v>
      </c>
      <c r="B55" s="100" t="s">
        <v>134</v>
      </c>
      <c r="C55" s="18"/>
      <c r="D55" s="18"/>
      <c r="E55" s="18"/>
      <c r="F55" s="18"/>
      <c r="G55" s="18"/>
      <c r="H55" s="18"/>
      <c r="I55" s="20"/>
      <c r="J55" s="3"/>
    </row>
    <row r="56">
      <c r="A56" s="13"/>
      <c r="B56" s="131" t="s">
        <v>135</v>
      </c>
      <c r="C56" s="132" t="s">
        <v>136</v>
      </c>
      <c r="D56" s="55"/>
      <c r="E56" s="55"/>
      <c r="F56" s="55"/>
      <c r="G56" s="133"/>
      <c r="H56" s="132" t="s">
        <v>137</v>
      </c>
      <c r="I56" s="133"/>
      <c r="J56" s="3"/>
    </row>
    <row r="57">
      <c r="A57" s="13"/>
      <c r="B57" s="134" t="s">
        <v>138</v>
      </c>
      <c r="C57" s="135" t="s">
        <v>139</v>
      </c>
      <c r="D57" s="55"/>
      <c r="E57" s="55"/>
      <c r="F57" s="55"/>
      <c r="G57" s="133"/>
      <c r="H57" s="136">
        <v>1.0486E7</v>
      </c>
      <c r="I57" s="133"/>
      <c r="J57" s="3"/>
    </row>
    <row r="58">
      <c r="A58" s="13"/>
      <c r="B58" s="134" t="s">
        <v>140</v>
      </c>
      <c r="C58" s="135" t="s">
        <v>141</v>
      </c>
      <c r="D58" s="55"/>
      <c r="E58" s="55"/>
      <c r="F58" s="55"/>
      <c r="G58" s="133"/>
      <c r="H58" s="136">
        <v>1.0E7</v>
      </c>
      <c r="I58" s="133"/>
      <c r="J58" s="3"/>
    </row>
    <row r="59">
      <c r="A59" s="13"/>
      <c r="B59" s="134" t="s">
        <v>142</v>
      </c>
      <c r="C59" s="135" t="s">
        <v>143</v>
      </c>
      <c r="D59" s="55"/>
      <c r="E59" s="55"/>
      <c r="F59" s="55"/>
      <c r="G59" s="133"/>
      <c r="H59" s="136">
        <v>1.0379E7</v>
      </c>
      <c r="I59" s="133"/>
      <c r="J59" s="3"/>
    </row>
    <row r="60">
      <c r="A60" s="13"/>
      <c r="B60" s="137" t="s">
        <v>144</v>
      </c>
      <c r="C60" s="135" t="b">
        <v>1</v>
      </c>
      <c r="D60" s="138" t="s">
        <v>145</v>
      </c>
      <c r="E60" s="41"/>
      <c r="F60" s="41"/>
      <c r="G60" s="41"/>
      <c r="H60" s="41"/>
      <c r="I60" s="139"/>
      <c r="J60" s="3"/>
    </row>
    <row r="61">
      <c r="A61" s="13"/>
      <c r="B61" s="106"/>
      <c r="C61" s="106"/>
      <c r="D61" s="106"/>
      <c r="E61" s="106"/>
      <c r="F61" s="106"/>
      <c r="G61" s="106"/>
      <c r="H61" s="106"/>
      <c r="I61" s="106"/>
      <c r="J61" s="3"/>
    </row>
    <row r="62">
      <c r="A62" s="13">
        <v>6.0</v>
      </c>
      <c r="B62" s="111" t="s">
        <v>146</v>
      </c>
      <c r="C62" s="18"/>
      <c r="D62" s="18"/>
      <c r="E62" s="18"/>
      <c r="F62" s="18"/>
      <c r="G62" s="18"/>
      <c r="H62" s="18"/>
      <c r="I62" s="20"/>
      <c r="J62" s="3"/>
    </row>
    <row r="63">
      <c r="A63" s="13"/>
      <c r="B63" s="140" t="s">
        <v>135</v>
      </c>
      <c r="C63" s="141" t="s">
        <v>147</v>
      </c>
      <c r="D63" s="73"/>
      <c r="E63" s="141" t="s">
        <v>148</v>
      </c>
      <c r="F63" s="72"/>
      <c r="G63" s="73"/>
      <c r="H63" s="142" t="s">
        <v>149</v>
      </c>
      <c r="I63" s="143" t="s">
        <v>150</v>
      </c>
      <c r="J63" s="3"/>
    </row>
    <row r="64">
      <c r="A64" s="13"/>
      <c r="B64" s="144" t="s">
        <v>151</v>
      </c>
      <c r="C64" s="145" t="s">
        <v>152</v>
      </c>
      <c r="D64" s="73"/>
      <c r="E64" s="145" t="s">
        <v>153</v>
      </c>
      <c r="F64" s="72"/>
      <c r="G64" s="73"/>
      <c r="H64" s="146">
        <v>1.5E7</v>
      </c>
      <c r="I64" s="147" t="s">
        <v>154</v>
      </c>
      <c r="J64" s="3"/>
    </row>
    <row r="65">
      <c r="A65" s="13"/>
      <c r="B65" s="144" t="s">
        <v>155</v>
      </c>
      <c r="C65" s="145" t="s">
        <v>156</v>
      </c>
      <c r="D65" s="73"/>
      <c r="E65" s="145" t="s">
        <v>157</v>
      </c>
      <c r="F65" s="72"/>
      <c r="G65" s="73"/>
      <c r="H65" s="148">
        <v>0.0</v>
      </c>
      <c r="I65" s="148" t="s">
        <v>157</v>
      </c>
      <c r="J65" s="3"/>
    </row>
    <row r="66">
      <c r="A66" s="13"/>
      <c r="B66" s="144" t="s">
        <v>158</v>
      </c>
      <c r="C66" s="149" t="s">
        <v>157</v>
      </c>
      <c r="D66" s="20"/>
      <c r="E66" s="149" t="s">
        <v>157</v>
      </c>
      <c r="F66" s="18"/>
      <c r="G66" s="20"/>
      <c r="H66" s="150">
        <v>0.0</v>
      </c>
      <c r="I66" s="150" t="s">
        <v>157</v>
      </c>
      <c r="J66" s="3"/>
    </row>
    <row r="67">
      <c r="A67" s="13"/>
      <c r="B67" s="151" t="s">
        <v>144</v>
      </c>
      <c r="C67" s="152" t="b">
        <v>1</v>
      </c>
      <c r="D67" s="153" t="s">
        <v>159</v>
      </c>
      <c r="E67" s="72"/>
      <c r="F67" s="72"/>
      <c r="G67" s="72"/>
      <c r="H67" s="72"/>
      <c r="I67" s="73"/>
      <c r="J67" s="3"/>
    </row>
    <row r="68">
      <c r="A68" s="13"/>
      <c r="B68" s="154"/>
      <c r="C68" s="155"/>
      <c r="D68" s="106"/>
      <c r="E68" s="106"/>
      <c r="F68" s="106"/>
      <c r="G68" s="106"/>
      <c r="H68" s="106"/>
      <c r="I68" s="106"/>
      <c r="J68" s="3"/>
    </row>
    <row r="69">
      <c r="A69" s="13">
        <v>7.0</v>
      </c>
      <c r="B69" s="100" t="s">
        <v>160</v>
      </c>
      <c r="C69" s="18"/>
      <c r="D69" s="18"/>
      <c r="E69" s="18"/>
      <c r="F69" s="18"/>
      <c r="G69" s="18"/>
      <c r="H69" s="18"/>
      <c r="I69" s="20"/>
      <c r="J69" s="3"/>
    </row>
    <row r="70">
      <c r="A70" s="156"/>
      <c r="B70" s="156" t="s">
        <v>161</v>
      </c>
      <c r="C70" s="157">
        <v>244683.0</v>
      </c>
      <c r="D70" s="41"/>
      <c r="E70" s="41"/>
      <c r="F70" s="158" t="s">
        <v>162</v>
      </c>
      <c r="G70" s="159" t="s">
        <v>163</v>
      </c>
      <c r="J70" s="159"/>
    </row>
    <row r="71">
      <c r="A71" s="156"/>
      <c r="B71" s="156" t="s">
        <v>164</v>
      </c>
      <c r="C71" s="157">
        <v>244714.0</v>
      </c>
      <c r="D71" s="41"/>
      <c r="E71" s="41"/>
      <c r="F71" s="158" t="s">
        <v>162</v>
      </c>
      <c r="J71" s="5"/>
    </row>
    <row r="72">
      <c r="A72" s="156"/>
      <c r="B72" s="156" t="s">
        <v>165</v>
      </c>
      <c r="C72" s="157">
        <v>244834.0</v>
      </c>
      <c r="D72" s="41"/>
      <c r="E72" s="41"/>
      <c r="F72" s="158" t="s">
        <v>162</v>
      </c>
      <c r="J72" s="5"/>
    </row>
    <row r="73">
      <c r="A73" s="13"/>
      <c r="B73" s="130"/>
      <c r="C73" s="130"/>
      <c r="D73" s="130"/>
      <c r="E73" s="130"/>
      <c r="F73" s="130"/>
      <c r="G73" s="160"/>
      <c r="H73" s="130"/>
      <c r="I73" s="130"/>
      <c r="J73" s="3"/>
    </row>
    <row r="74">
      <c r="A74" s="13">
        <v>8.0</v>
      </c>
      <c r="B74" s="100" t="s">
        <v>166</v>
      </c>
      <c r="C74" s="18"/>
      <c r="D74" s="18"/>
      <c r="E74" s="18"/>
      <c r="F74" s="18"/>
      <c r="G74" s="18"/>
      <c r="H74" s="18"/>
      <c r="I74" s="20"/>
      <c r="J74" s="3"/>
    </row>
    <row r="75">
      <c r="A75" s="13"/>
      <c r="B75" s="161" t="s">
        <v>167</v>
      </c>
      <c r="J75" s="3"/>
    </row>
    <row r="76">
      <c r="A76" s="13"/>
      <c r="B76" s="162" t="s">
        <v>168</v>
      </c>
      <c r="C76" s="55"/>
      <c r="D76" s="55"/>
      <c r="E76" s="55"/>
      <c r="F76" s="55"/>
      <c r="G76" s="55"/>
      <c r="H76" s="55"/>
      <c r="I76" s="56"/>
      <c r="J76" s="3"/>
    </row>
    <row r="77">
      <c r="A77" s="13"/>
      <c r="B77" s="161" t="s">
        <v>169</v>
      </c>
      <c r="J77" s="3"/>
    </row>
    <row r="78" ht="99.0" customHeight="1">
      <c r="A78" s="13"/>
      <c r="B78" s="163" t="s">
        <v>170</v>
      </c>
      <c r="C78" s="55"/>
      <c r="D78" s="55"/>
      <c r="E78" s="55"/>
      <c r="F78" s="55"/>
      <c r="G78" s="55"/>
      <c r="H78" s="55"/>
      <c r="I78" s="56"/>
      <c r="J78" s="3"/>
    </row>
    <row r="79">
      <c r="A79" s="13"/>
      <c r="B79" s="164" t="s">
        <v>171</v>
      </c>
      <c r="C79" s="63"/>
      <c r="D79" s="63"/>
      <c r="E79" s="63"/>
      <c r="F79" s="63"/>
      <c r="G79" s="63"/>
      <c r="H79" s="63"/>
      <c r="I79" s="63"/>
      <c r="J79" s="3"/>
    </row>
    <row r="80">
      <c r="A80" s="13"/>
      <c r="B80" s="165" t="s">
        <v>172</v>
      </c>
      <c r="C80" s="103"/>
      <c r="D80" s="103"/>
      <c r="E80" s="103"/>
      <c r="F80" s="103"/>
      <c r="G80" s="103"/>
      <c r="H80" s="103"/>
      <c r="I80" s="104"/>
      <c r="J80" s="3"/>
    </row>
    <row r="81">
      <c r="A81" s="166">
        <v>9.0</v>
      </c>
      <c r="B81" s="167" t="s">
        <v>173</v>
      </c>
      <c r="C81" s="72"/>
      <c r="D81" s="72"/>
      <c r="E81" s="72"/>
      <c r="F81" s="72"/>
      <c r="G81" s="72"/>
      <c r="H81" s="72"/>
      <c r="I81" s="73"/>
      <c r="J81" s="3"/>
    </row>
    <row r="82">
      <c r="A82" s="13"/>
      <c r="B82" s="168" t="s">
        <v>174</v>
      </c>
      <c r="C82" s="72"/>
      <c r="D82" s="72"/>
      <c r="E82" s="72"/>
      <c r="F82" s="72"/>
      <c r="G82" s="72"/>
      <c r="H82" s="72"/>
      <c r="I82" s="73"/>
      <c r="J82" s="3"/>
    </row>
    <row r="83">
      <c r="A83" s="13"/>
      <c r="B83" s="169"/>
      <c r="C83" s="169"/>
      <c r="D83" s="169"/>
      <c r="E83" s="169"/>
      <c r="F83" s="169"/>
      <c r="G83" s="169"/>
      <c r="H83" s="169"/>
      <c r="I83" s="169"/>
      <c r="J83" s="3"/>
    </row>
  </sheetData>
  <mergeCells count="87">
    <mergeCell ref="C39:I39"/>
    <mergeCell ref="B41:I41"/>
    <mergeCell ref="B42:C42"/>
    <mergeCell ref="D42:I42"/>
    <mergeCell ref="B44:C44"/>
    <mergeCell ref="D44:I44"/>
    <mergeCell ref="D46:I46"/>
    <mergeCell ref="D48:I48"/>
    <mergeCell ref="B50:I50"/>
    <mergeCell ref="B51:B53"/>
    <mergeCell ref="F51:G51"/>
    <mergeCell ref="H51:I51"/>
    <mergeCell ref="F52:G52"/>
    <mergeCell ref="H52:I52"/>
    <mergeCell ref="B55:I55"/>
    <mergeCell ref="C56:G56"/>
    <mergeCell ref="H56:I56"/>
    <mergeCell ref="C57:G57"/>
    <mergeCell ref="H57:I57"/>
    <mergeCell ref="C58:G58"/>
    <mergeCell ref="H58:I58"/>
    <mergeCell ref="C59:G59"/>
    <mergeCell ref="H59:I59"/>
    <mergeCell ref="D60:I60"/>
    <mergeCell ref="B62:I62"/>
    <mergeCell ref="C63:D63"/>
    <mergeCell ref="E63:G63"/>
    <mergeCell ref="E64:G64"/>
    <mergeCell ref="C64:D64"/>
    <mergeCell ref="C65:D65"/>
    <mergeCell ref="E65:G65"/>
    <mergeCell ref="C66:D66"/>
    <mergeCell ref="E66:G66"/>
    <mergeCell ref="D67:I67"/>
    <mergeCell ref="B69:I69"/>
    <mergeCell ref="B77:I77"/>
    <mergeCell ref="B78:I78"/>
    <mergeCell ref="B79:I79"/>
    <mergeCell ref="B80:I80"/>
    <mergeCell ref="B81:I81"/>
    <mergeCell ref="B82:I82"/>
    <mergeCell ref="C70:E70"/>
    <mergeCell ref="G70:I72"/>
    <mergeCell ref="C71:E71"/>
    <mergeCell ref="C72:E72"/>
    <mergeCell ref="B74:I74"/>
    <mergeCell ref="B75:I75"/>
    <mergeCell ref="B76:I76"/>
    <mergeCell ref="B2:I2"/>
    <mergeCell ref="A3:J3"/>
    <mergeCell ref="B4:I4"/>
    <mergeCell ref="C5:I5"/>
    <mergeCell ref="C6:I6"/>
    <mergeCell ref="C7:D7"/>
    <mergeCell ref="F7:G7"/>
    <mergeCell ref="H7:I7"/>
    <mergeCell ref="C8:I8"/>
    <mergeCell ref="C9:I9"/>
    <mergeCell ref="C10:I10"/>
    <mergeCell ref="C11:I11"/>
    <mergeCell ref="C12:I12"/>
    <mergeCell ref="C13:I13"/>
    <mergeCell ref="C14:I14"/>
    <mergeCell ref="C15:I15"/>
    <mergeCell ref="C16:I16"/>
    <mergeCell ref="B18:I18"/>
    <mergeCell ref="C19:I19"/>
    <mergeCell ref="C20:I20"/>
    <mergeCell ref="C21:I21"/>
    <mergeCell ref="C28:D28"/>
    <mergeCell ref="B30:C30"/>
    <mergeCell ref="C22:I22"/>
    <mergeCell ref="C23:I23"/>
    <mergeCell ref="C24:I24"/>
    <mergeCell ref="C26:I26"/>
    <mergeCell ref="C27:I27"/>
    <mergeCell ref="E28:I28"/>
    <mergeCell ref="C29:I29"/>
    <mergeCell ref="D30:I30"/>
    <mergeCell ref="C32:I32"/>
    <mergeCell ref="C33:I33"/>
    <mergeCell ref="C35:I35"/>
    <mergeCell ref="C36:I36"/>
    <mergeCell ref="C37:I37"/>
    <mergeCell ref="C38:I38"/>
    <mergeCell ref="B46:C46"/>
    <mergeCell ref="B48:C48"/>
  </mergeCells>
  <dataValidations>
    <dataValidation type="list" allowBlank="1" showErrorMessage="1" sqref="C15">
      <formula1>Settings!$Z$3:$Z83</formula1>
    </dataValidation>
    <dataValidation type="list" allowBlank="1" sqref="C12">
      <formula1>Settings!$M$3:$M83</formula1>
    </dataValidation>
    <dataValidation type="list" allowBlank="1" sqref="C13">
      <formula1>Settings!$O$3:$O83</formula1>
    </dataValidation>
    <dataValidation type="list" allowBlank="1" sqref="C22">
      <formula1>Settings!$T$3:$T83</formula1>
    </dataValidation>
    <dataValidation type="list" allowBlank="1" sqref="C5">
      <formula1>Settings!$A$3:$A83</formula1>
    </dataValidation>
    <dataValidation type="list" allowBlank="1" sqref="C9">
      <formula1>Settings!$G$3:$G83</formula1>
    </dataValidation>
    <dataValidation type="list" allowBlank="1" sqref="C16">
      <formula1>Settings!$AB$3:$AB83</formula1>
    </dataValidation>
    <dataValidation type="list" allowBlank="1" sqref="C10">
      <formula1>Settings!$H$2:$H83</formula1>
    </dataValidation>
    <dataValidation type="list" allowBlank="1" sqref="C11">
      <formula1>Settings!$I$2:$I83</formula1>
    </dataValidation>
    <dataValidation type="list" allowBlank="1" sqref="C14">
      <formula1>Settings!$L$3:$L83</formula1>
    </dataValidation>
    <dataValidation type="custom" allowBlank="1" showDropDown="1" sqref="C70:C72">
      <formula1>OR(NOT(ISERROR(DATEVALUE(C70))), AND(ISNUMBER(C70), LEFT(CELL("format", C70))="D"))</formula1>
    </dataValidation>
  </dataValidations>
  <hyperlinks>
    <hyperlink r:id="rId2" ref="D42"/>
    <hyperlink r:id="rId3" ref="D44"/>
    <hyperlink r:id="rId4" ref="D46"/>
    <hyperlink r:id="rId5" ref="B50"/>
    <hyperlink r:id="rId6" ref="B51"/>
    <hyperlink r:id="rId7" ref="B62"/>
    <hyperlink r:id="rId8" ref="I64"/>
    <hyperlink r:id="rId9" ref="B82"/>
  </hyperlinks>
  <printOptions gridLines="1" horizontalCentered="1"/>
  <pageMargins bottom="0.75" footer="0.0" header="0.0" left="0.7" right="0.7" top="0.75"/>
  <pageSetup paperSize="9" cellComments="atEnd" orientation="portrait" pageOrder="overThenDown"/>
  <rowBreaks count="1" manualBreakCount="1">
    <brk id="83" man="1"/>
  </rowBreaks>
  <colBreaks count="2" manualBreakCount="2">
    <brk man="1"/>
    <brk id="10" man="1"/>
  </colBrea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8.25"/>
    <col customWidth="1" min="2" max="2" width="52.63"/>
    <col customWidth="1" min="3" max="3" width="27.5"/>
  </cols>
  <sheetData>
    <row r="1">
      <c r="A1" s="2" t="s">
        <v>0</v>
      </c>
      <c r="B1" s="2" t="s">
        <v>2</v>
      </c>
      <c r="C1" s="4" t="s">
        <v>3</v>
      </c>
    </row>
    <row r="2">
      <c r="A2" s="6" t="s">
        <v>4</v>
      </c>
      <c r="B2" s="6" t="s">
        <v>5</v>
      </c>
      <c r="C2" s="17">
        <f>IFERROR(LEFT(B2, FIND(" ", B2) - 1) / MID(B2, FIND("/", B2) + 2, 99),"")</f>
        <v>0.96</v>
      </c>
    </row>
    <row r="3">
      <c r="A3" s="19" t="s">
        <v>7</v>
      </c>
      <c r="B3" s="21" t="s">
        <v>8</v>
      </c>
    </row>
    <row r="4">
      <c r="A4" s="19" t="s">
        <v>9</v>
      </c>
      <c r="B4" s="24">
        <v>46262.36165909722</v>
      </c>
    </row>
    <row r="5">
      <c r="A5" s="19" t="s">
        <v>11</v>
      </c>
      <c r="B5" s="19" t="s">
        <v>11</v>
      </c>
    </row>
    <row r="6">
      <c r="A6" s="26" t="s">
        <v>12</v>
      </c>
      <c r="B6" s="26"/>
      <c r="C6" s="27"/>
    </row>
    <row r="7">
      <c r="A7" s="26"/>
      <c r="B7" s="26" t="s">
        <v>13</v>
      </c>
      <c r="C7" s="27"/>
    </row>
    <row r="8">
      <c r="A8" s="26"/>
      <c r="B8" s="26" t="s">
        <v>14</v>
      </c>
      <c r="C8" s="27"/>
    </row>
    <row r="9">
      <c r="A9" s="26"/>
      <c r="B9" s="26" t="s">
        <v>15</v>
      </c>
      <c r="C9" s="26"/>
    </row>
    <row r="10">
      <c r="A10" s="26"/>
      <c r="B10" s="26" t="s">
        <v>16</v>
      </c>
      <c r="C10" s="27"/>
    </row>
    <row r="11">
      <c r="A11" s="26"/>
      <c r="B11" s="26" t="s">
        <v>17</v>
      </c>
      <c r="C11" s="27"/>
    </row>
    <row r="12">
      <c r="A12" s="26"/>
      <c r="B12" s="26" t="s">
        <v>18</v>
      </c>
      <c r="C12" s="27"/>
    </row>
    <row r="13">
      <c r="A13" s="26"/>
      <c r="B13" s="26" t="s">
        <v>19</v>
      </c>
      <c r="C13" s="27"/>
    </row>
    <row r="14">
      <c r="A14" s="26"/>
      <c r="B14" s="26" t="s">
        <v>20</v>
      </c>
      <c r="C14" s="27"/>
    </row>
    <row r="15">
      <c r="A15" s="26"/>
      <c r="B15" s="26" t="s">
        <v>21</v>
      </c>
      <c r="C15" s="27"/>
    </row>
    <row r="16">
      <c r="A16" s="26"/>
      <c r="B16" s="26" t="s">
        <v>22</v>
      </c>
      <c r="C16" s="27"/>
    </row>
    <row r="17">
      <c r="A17" s="26"/>
      <c r="B17" s="26" t="s">
        <v>23</v>
      </c>
      <c r="C17" s="27"/>
    </row>
    <row r="18">
      <c r="A18" s="30"/>
      <c r="B18" s="32" t="s">
        <v>24</v>
      </c>
      <c r="C18" s="33"/>
    </row>
    <row r="19">
      <c r="A19" s="26"/>
      <c r="B19" s="26" t="s">
        <v>25</v>
      </c>
      <c r="C19" s="27"/>
    </row>
    <row r="20">
      <c r="A20" s="26" t="s">
        <v>26</v>
      </c>
      <c r="B20" s="26"/>
      <c r="C20" s="27"/>
    </row>
    <row r="21">
      <c r="A21" s="26"/>
      <c r="B21" s="26" t="s">
        <v>27</v>
      </c>
      <c r="C21" s="27"/>
    </row>
    <row r="22">
      <c r="A22" s="26"/>
      <c r="B22" s="26" t="s">
        <v>28</v>
      </c>
      <c r="C22" s="27"/>
    </row>
    <row r="23">
      <c r="A23" s="26"/>
      <c r="B23" s="26" t="s">
        <v>29</v>
      </c>
      <c r="C23" s="27"/>
    </row>
    <row r="24">
      <c r="A24" s="26"/>
      <c r="B24" s="26" t="s">
        <v>30</v>
      </c>
      <c r="C24" s="27"/>
    </row>
    <row r="25">
      <c r="A25" s="30"/>
      <c r="B25" s="32" t="s">
        <v>31</v>
      </c>
      <c r="C25" s="33"/>
    </row>
    <row r="26">
      <c r="A26" s="26"/>
      <c r="B26" s="26" t="s">
        <v>32</v>
      </c>
      <c r="C26" s="27"/>
    </row>
    <row r="27">
      <c r="A27" s="26" t="s">
        <v>33</v>
      </c>
      <c r="B27" s="26"/>
      <c r="C27" s="27"/>
    </row>
    <row r="28">
      <c r="A28" s="26"/>
      <c r="B28" s="26" t="s">
        <v>35</v>
      </c>
      <c r="C28" s="27"/>
    </row>
    <row r="29">
      <c r="A29" s="26"/>
      <c r="B29" s="26" t="s">
        <v>36</v>
      </c>
      <c r="C29" s="27"/>
    </row>
    <row r="30">
      <c r="A30" s="30"/>
      <c r="B30" s="32" t="s">
        <v>37</v>
      </c>
      <c r="C30" s="33"/>
    </row>
    <row r="31">
      <c r="A31" s="26"/>
      <c r="B31" s="26" t="s">
        <v>38</v>
      </c>
      <c r="C31" s="27"/>
    </row>
    <row r="32">
      <c r="A32" s="35" t="s">
        <v>39</v>
      </c>
      <c r="B32" s="32"/>
      <c r="C32" s="33"/>
    </row>
    <row r="33">
      <c r="A33" s="26"/>
      <c r="B33" s="26" t="s">
        <v>40</v>
      </c>
      <c r="C33" s="27"/>
    </row>
    <row r="34">
      <c r="A34" s="26" t="s">
        <v>41</v>
      </c>
      <c r="B34" s="26"/>
      <c r="C34" s="27"/>
    </row>
    <row r="35">
      <c r="A35" s="26"/>
      <c r="B35" s="26" t="s">
        <v>42</v>
      </c>
      <c r="C35" s="27"/>
    </row>
    <row r="36">
      <c r="A36" s="26"/>
      <c r="B36" s="26" t="s">
        <v>43</v>
      </c>
      <c r="C36" s="27"/>
    </row>
    <row r="37">
      <c r="A37" s="26"/>
      <c r="B37" s="26" t="s">
        <v>44</v>
      </c>
      <c r="C37" s="27"/>
    </row>
    <row r="38">
      <c r="A38" s="26"/>
      <c r="B38" s="26" t="s">
        <v>45</v>
      </c>
      <c r="C38" s="27"/>
    </row>
    <row r="39">
      <c r="A39" s="26"/>
      <c r="B39" s="26" t="s">
        <v>47</v>
      </c>
      <c r="C39" s="27"/>
    </row>
    <row r="40">
      <c r="A40" s="30"/>
      <c r="B40" s="32" t="s">
        <v>48</v>
      </c>
      <c r="C40" s="33"/>
    </row>
    <row r="41">
      <c r="A41" s="26"/>
      <c r="B41" s="26" t="s">
        <v>49</v>
      </c>
      <c r="C41" s="39"/>
    </row>
    <row r="42">
      <c r="A42" s="26" t="s">
        <v>51</v>
      </c>
      <c r="B42" s="26"/>
      <c r="C42" s="39"/>
    </row>
    <row r="43">
      <c r="A43" s="26"/>
      <c r="B43" s="26" t="s">
        <v>52</v>
      </c>
      <c r="C43" s="39"/>
    </row>
    <row r="44">
      <c r="A44" s="42"/>
      <c r="B44" s="26" t="s">
        <v>53</v>
      </c>
      <c r="C44" s="39"/>
    </row>
    <row r="45">
      <c r="A45" s="26"/>
      <c r="B45" s="26" t="s">
        <v>54</v>
      </c>
      <c r="C45" s="39"/>
    </row>
    <row r="46">
      <c r="A46" s="42"/>
      <c r="B46" s="26" t="s">
        <v>55</v>
      </c>
      <c r="C46" s="39"/>
    </row>
    <row r="47">
      <c r="A47" s="26"/>
      <c r="B47" s="26" t="s">
        <v>57</v>
      </c>
      <c r="C47" s="39"/>
    </row>
    <row r="48">
      <c r="A48" s="42"/>
      <c r="B48" s="26" t="s">
        <v>58</v>
      </c>
      <c r="C48" s="39"/>
    </row>
    <row r="49">
      <c r="A49" s="26"/>
      <c r="B49" s="26" t="s">
        <v>59</v>
      </c>
      <c r="C49" s="39"/>
    </row>
    <row r="50">
      <c r="A50" s="42"/>
      <c r="B50" s="26" t="s">
        <v>60</v>
      </c>
      <c r="C50" s="39"/>
    </row>
    <row r="51">
      <c r="A51" s="26"/>
      <c r="B51" s="26" t="s">
        <v>61</v>
      </c>
      <c r="C51" s="39"/>
    </row>
    <row r="52">
      <c r="A52" s="42"/>
      <c r="B52" s="26" t="s">
        <v>62</v>
      </c>
      <c r="C52" s="39"/>
    </row>
    <row r="53">
      <c r="A53" s="42"/>
      <c r="B53" s="26" t="s">
        <v>64</v>
      </c>
      <c r="C53" s="39"/>
    </row>
    <row r="54">
      <c r="A54" s="30"/>
      <c r="B54" s="32" t="s">
        <v>65</v>
      </c>
      <c r="C54" s="33"/>
    </row>
    <row r="55">
      <c r="A55" s="26"/>
      <c r="B55" s="26" t="s">
        <v>66</v>
      </c>
      <c r="C55" s="39"/>
    </row>
    <row r="56">
      <c r="A56" s="26" t="s">
        <v>68</v>
      </c>
      <c r="B56" s="26"/>
      <c r="C56" s="39"/>
    </row>
    <row r="57">
      <c r="A57" s="26"/>
      <c r="B57" s="26" t="s">
        <v>69</v>
      </c>
      <c r="C57" s="39"/>
    </row>
    <row r="58">
      <c r="A58" s="30"/>
      <c r="B58" s="32" t="s">
        <v>70</v>
      </c>
      <c r="C58" s="33"/>
    </row>
    <row r="59">
      <c r="A59" s="26"/>
      <c r="B59" s="26" t="s">
        <v>71</v>
      </c>
      <c r="C59" s="39"/>
    </row>
    <row r="60">
      <c r="A60" s="26" t="s">
        <v>72</v>
      </c>
      <c r="B60" s="26"/>
      <c r="C60" s="39"/>
    </row>
    <row r="61">
      <c r="A61" s="26"/>
      <c r="B61" s="26" t="s">
        <v>73</v>
      </c>
      <c r="C61" s="39"/>
    </row>
    <row r="62">
      <c r="A62" s="42"/>
      <c r="B62" s="26" t="s">
        <v>74</v>
      </c>
      <c r="C62" s="39"/>
    </row>
    <row r="63">
      <c r="A63" s="30"/>
      <c r="B63" s="32" t="s">
        <v>75</v>
      </c>
      <c r="C63" s="33"/>
    </row>
    <row r="64">
      <c r="A64" s="49"/>
      <c r="B64" s="50"/>
      <c r="C64" s="51"/>
    </row>
  </sheetData>
  <mergeCells count="1">
    <mergeCell ref="C2:C5"/>
  </mergeCells>
  <conditionalFormatting sqref="C2:C5">
    <cfRule type="colorScale" priority="1">
      <colorScale>
        <cfvo type="formula" val="0"/>
        <cfvo type="formula" val="0.5"/>
        <cfvo type="formula" val="1"/>
        <color rgb="FFE67C73"/>
        <color rgb="FFFFD666"/>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75"/>
    <col customWidth="1" min="2" max="2" width="21.38"/>
    <col customWidth="1" min="3" max="3" width="8.63"/>
    <col customWidth="1" min="4" max="4" width="2.88"/>
    <col customWidth="1" min="5" max="5" width="13.5"/>
    <col customWidth="1" min="6" max="6" width="4.88"/>
    <col customWidth="1" min="7" max="9" width="18.5"/>
    <col customWidth="1" min="10" max="10" width="5.13"/>
    <col customWidth="1" min="11" max="11" width="11.0"/>
    <col customWidth="1" min="12" max="28" width="5.63"/>
    <col customWidth="1" min="29" max="31" width="7.75"/>
  </cols>
  <sheetData>
    <row r="1">
      <c r="A1" s="8" t="s">
        <v>1</v>
      </c>
      <c r="G1" s="11"/>
      <c r="H1" s="11"/>
      <c r="I1" s="11"/>
      <c r="J1" s="11"/>
      <c r="K1" s="11"/>
      <c r="L1" s="11"/>
      <c r="M1" s="11"/>
      <c r="N1" s="11"/>
      <c r="O1" s="11"/>
      <c r="P1" s="11"/>
      <c r="Q1" s="11"/>
      <c r="R1" s="11"/>
      <c r="S1" s="11"/>
      <c r="T1" s="11"/>
      <c r="U1" s="11"/>
      <c r="V1" s="11"/>
      <c r="W1" s="11"/>
      <c r="X1" s="11"/>
      <c r="Y1" s="11"/>
      <c r="Z1" s="11"/>
      <c r="AA1" s="11"/>
      <c r="AB1" s="11"/>
      <c r="AC1" s="11"/>
      <c r="AD1" s="11"/>
      <c r="AE1" s="11"/>
    </row>
    <row r="2" ht="24.0" customHeight="1">
      <c r="A2" s="14" t="str">
        <f>IFERROR(__xludf.DUMMYFUNCTION("QUERY(IMPORTRANGE($A$1,""ส่วนงาน/หน่วยงาน!J1:K""),""Select* Where Col1 is not null"")"),"ชื่อใหม่ 70")</f>
        <v>ชื่อใหม่ 70</v>
      </c>
      <c r="B2" s="15" t="str">
        <f>IFERROR(__xludf.DUMMYFUNCTION("""COMPUTED_VALUE"""),"ชื่อย่อ 70")</f>
        <v>ชื่อย่อ 70</v>
      </c>
      <c r="C2" s="15"/>
      <c r="E2" s="14" t="str">
        <f>IFERROR(__xludf.DUMMYFUNCTION("IMPORTRANGE($A$1,""General!A2:A"")"),"Title")</f>
        <v>Title</v>
      </c>
      <c r="G2" s="22" t="str">
        <f>IFERROR(__xludf.DUMMYFUNCTION("QUERY(IMPORTRANGE($A$1,""Plan SPlan Project!A1:C""),""Select* "",1)"),"Plan")</f>
        <v>Plan</v>
      </c>
      <c r="H2" s="22" t="str">
        <f>IFERROR(__xludf.DUMMYFUNCTION("""COMPUTED_VALUE"""),"Sub Plan")</f>
        <v>Sub Plan</v>
      </c>
      <c r="I2" s="22" t="str">
        <f>IFERROR(__xludf.DUMMYFUNCTION("""COMPUTED_VALUE"""),"Project")</f>
        <v>Project</v>
      </c>
      <c r="J2" s="22"/>
      <c r="K2" s="25" t="str">
        <f>IFERROR(__xludf.DUMMYFUNCTION("IMPORTRANGE($A$1,""General!H2:Z"")"),"ประเภทครุภัณฑ์ จำแนกตามมาตรฐานครุภัณฑ์ (สำนักงบประมาณ)")</f>
        <v>ประเภทครุภัณฑ์ จำแนกตามมาตรฐานครุภัณฑ์ (สำนักงบประมาณ)</v>
      </c>
      <c r="L2" s="25" t="str">
        <f>IFERROR(__xludf.DUMMYFUNCTION("""COMPUTED_VALUE"""),"ประเภทครุภัณฑ์ จำแนกตามแหล่งที่มา")</f>
        <v>ประเภทครุภัณฑ์ จำแนกตามแหล่งที่มา</v>
      </c>
      <c r="M2" s="25" t="str">
        <f>IFERROR(__xludf.DUMMYFUNCTION("""COMPUTED_VALUE"""),"วัตถุประสงค์การตั้งครุภัณฑ์ (ตามเกณฑ์สำนักงบประมาณ)")</f>
        <v>วัตถุประสงค์การตั้งครุภัณฑ์ (ตามเกณฑ์สำนักงบประมาณ)</v>
      </c>
      <c r="N2" s="25" t="str">
        <f>IFERROR(__xludf.DUMMYFUNCTION("""COMPUTED_VALUE"""),"เหตุผล")</f>
        <v>เหตุผล</v>
      </c>
      <c r="O2" s="25" t="str">
        <f>IFERROR(__xludf.DUMMYFUNCTION("""COMPUTED_VALUE"""),"ประเภทครุภัณฑ์ จำแนกตามลักษณะการใช้งาน")</f>
        <v>ประเภทครุภัณฑ์ จำแนกตามลักษณะการใช้งาน</v>
      </c>
      <c r="P2" s="25" t="str">
        <f>IFERROR(__xludf.DUMMYFUNCTION("""COMPUTED_VALUE"""),"อายุการใช้งาน (ปี)")</f>
        <v>อายุการใช้งาน (ปี)</v>
      </c>
      <c r="Q2" s="25" t="str">
        <f>IFERROR(__xludf.DUMMYFUNCTION("""COMPUTED_VALUE"""),"ด้านการบริหารจัดการและความพร้อม")</f>
        <v>ด้านการบริหารจัดการและความพร้อม</v>
      </c>
      <c r="R2" s="25" t="str">
        <f>IFERROR(__xludf.DUMMYFUNCTION("""COMPUTED_VALUE"""),"ความซ้ำซ้อนของครุภัณฑ์  ")</f>
        <v>ความซ้ำซ้อนของครุภัณฑ์  </v>
      </c>
      <c r="S2" s="25" t="str">
        <f>IFERROR(__xludf.DUMMYFUNCTION("""COMPUTED_VALUE"""),"เอกสารตามเกณฑ์และเงื่อนไขที่กำหนด  (ครุภัณฑ์)")</f>
        <v>เอกสารตามเกณฑ์และเงื่อนไขที่กำหนด  (ครุภัณฑ์)</v>
      </c>
      <c r="T2" s="25" t="str">
        <f>IFERROR(__xludf.DUMMYFUNCTION("""COMPUTED_VALUE"""),"หลักสูตรตามเป้าหมายอุดมศึกษา ระยะ 5 ปี (ครุภัณฑ์)")</f>
        <v>หลักสูตรตามเป้าหมายอุดมศึกษา ระยะ 5 ปี (ครุภัณฑ์)</v>
      </c>
      <c r="U2" s="25" t="str">
        <f>IFERROR(__xludf.DUMMYFUNCTION("""COMPUTED_VALUE"""),"ประเภทสิ่งก่อสร้าง")</f>
        <v>ประเภทสิ่งก่อสร้าง</v>
      </c>
      <c r="V2" s="25" t="str">
        <f>IFERROR(__xludf.DUMMYFUNCTION("""COMPUTED_VALUE"""),"วัตถุประสงค์สิ่งก่อสร้าง")</f>
        <v>วัตถุประสงค์สิ่งก่อสร้าง</v>
      </c>
      <c r="W2" s="25" t="str">
        <f>IFERROR(__xludf.DUMMYFUNCTION("""COMPUTED_VALUE"""),"ประเภทอาคาร")</f>
        <v>ประเภทอาคาร</v>
      </c>
      <c r="X2" s="25" t="str">
        <f>IFERROR(__xludf.DUMMYFUNCTION("""COMPUTED_VALUE"""),"ความพร้อม ครุภัณฑ์และสิ่งก่อสร้าง")</f>
        <v>ความพร้อม ครุภัณฑ์และสิ่งก่อสร้าง</v>
      </c>
      <c r="Y2" s="25" t="str">
        <f>IFERROR(__xludf.DUMMYFUNCTION("""COMPUTED_VALUE"""),"หน่วยงบลงทุน")</f>
        <v>หน่วยงบลงทุน</v>
      </c>
      <c r="Z2" s="25" t="str">
        <f>IFERROR(__xludf.DUMMYFUNCTION("""COMPUTED_VALUE""")," ผลิตบัณฑิตในสาขาเป้าหมายของประเทศ (S-Curve &amp; New S-Curve)")</f>
        <v> ผลิตบัณฑิตในสาขาเป้าหมายของประเทศ (S-Curve &amp; New S-Curve)</v>
      </c>
      <c r="AA2" s="25" t="str">
        <f>IFERROR(__xludf.DUMMYFUNCTION("""COMPUTED_VALUE"""),"หลักธรรมาภิบาล")</f>
        <v>หลักธรรมาภิบาล</v>
      </c>
      <c r="AB2" s="25" t="str">
        <f>IFERROR(__xludf.DUMMYFUNCTION("""COMPUTED_VALUE"""),"เป้าหมายการพัฒนาที่ยั่งยืน (SDGs)")</f>
        <v>เป้าหมายการพัฒนาที่ยั่งยืน (SDGs)</v>
      </c>
      <c r="AC2" s="28"/>
      <c r="AD2" s="28"/>
      <c r="AE2" s="29"/>
    </row>
    <row r="3">
      <c r="A3" s="31" t="str">
        <f>IFERROR(__xludf.DUMMYFUNCTION("""COMPUTED_VALUE"""),"03000 : คณะเกษตรศาสตร์")</f>
        <v>03000 : คณะเกษตรศาสตร์</v>
      </c>
      <c r="B3" s="31" t="str">
        <f>IFERROR(__xludf.DUMMYFUNCTION("""COMPUTED_VALUE"""),"คณะเกษตรศาสตร์")</f>
        <v>คณะเกษตรศาสตร์</v>
      </c>
      <c r="E3" s="31" t="str">
        <f>IFERROR(__xludf.DUMMYFUNCTION("""COMPUTED_VALUE"""),"สรุปคำขอรายการครุภัณฑ์")</f>
        <v>สรุปคำขอรายการครุภัณฑ์</v>
      </c>
      <c r="G3" s="11" t="str">
        <f>IFERROR(__xludf.DUMMYFUNCTION("""COMPUTED_VALUE"""),"2199 : แผนงานจัดการศึกษาด้านวิทยาศาสตร์และเทคโนโลยี")</f>
        <v>2199 : แผนงานจัดการศึกษาด้านวิทยาศาสตร์และเทคโนโลยี</v>
      </c>
      <c r="H3" s="11" t="str">
        <f>IFERROR(__xludf.DUMMYFUNCTION("""COMPUTED_VALUE"""),"002101 : จัดการเรียนการสอนด้านวิทยาศาสตร์และเทคโนโลยี")</f>
        <v>002101 : จัดการเรียนการสอนด้านวิทยาศาสตร์และเทคโนโลยี</v>
      </c>
      <c r="I3" s="11" t="str">
        <f>IFERROR(__xludf.DUMMYFUNCTION("""COMPUTED_VALUE"""),"101101 : การเรียนการสอน")</f>
        <v>101101 : การเรียนการสอน</v>
      </c>
      <c r="J3" s="11"/>
      <c r="K3" s="11" t="str">
        <f>IFERROR(__xludf.DUMMYFUNCTION("""COMPUTED_VALUE"""),"ครุภัณฑ์ในมาตรฐาน")</f>
        <v>ครุภัณฑ์ในมาตรฐาน</v>
      </c>
      <c r="L3" s="11" t="str">
        <f>IFERROR(__xludf.DUMMYFUNCTION("""COMPUTED_VALUE"""),"ครุภัณฑ์จัดซื้อภายในประเทศ")</f>
        <v>ครุภัณฑ์จัดซื้อภายในประเทศ</v>
      </c>
      <c r="M3" s="11" t="str">
        <f>IFERROR(__xludf.DUMMYFUNCTION("""COMPUTED_VALUE"""),"ครุภัณฑ์ทดแทน")</f>
        <v>ครุภัณฑ์ทดแทน</v>
      </c>
      <c r="N3" s="11" t="str">
        <f>IFERROR(__xludf.DUMMYFUNCTION("""COMPUTED_VALUE"""),"ทดแทนของเดิมที่เสื่อมสภาพอายุการใช้งานเกิน 7 ปีขึ้นไป ")</f>
        <v>ทดแทนของเดิมที่เสื่อมสภาพอายุการใช้งานเกิน 7 ปีขึ้นไป </v>
      </c>
      <c r="O3" s="11" t="str">
        <f>IFERROR(__xludf.DUMMYFUNCTION("""COMPUTED_VALUE"""),"ครุภัณฑ์สำนักงาน")</f>
        <v>ครุภัณฑ์สำนักงาน</v>
      </c>
      <c r="P3" s="11">
        <f>IFERROR(__xludf.DUMMYFUNCTION("""COMPUTED_VALUE"""),10.0)</f>
        <v>10</v>
      </c>
      <c r="Q3" s="11" t="str">
        <f>IFERROR(__xludf.DUMMYFUNCTION("""COMPUTED_VALUE"""),"สถานที่ติดตั้ง/จัดเก็บ")</f>
        <v>สถานที่ติดตั้ง/จัดเก็บ</v>
      </c>
      <c r="R3" s="11" t="str">
        <f>IFERROR(__xludf.DUMMYFUNCTION("""COMPUTED_VALUE"""),"ครุภัณฑ์ที่มีลักษณะการใช้งานคล้ายกับครุภัณฑ์ที่มีอยู่แล้วในหน่วยงานและส่วนงาน/หน่วยงานอืนในมหาวิทยาลัย")</f>
        <v>ครุภัณฑ์ที่มีลักษณะการใช้งานคล้ายกับครุภัณฑ์ที่มีอยู่แล้วในหน่วยงานและส่วนงาน/หน่วยงานอืนในมหาวิทยาลัย</v>
      </c>
      <c r="S3" s="11" t="str">
        <f>IFERROR(__xludf.DUMMYFUNCTION("""COMPUTED_VALUE"""),"เอกสารแสดงความคุ้มค่าต่อการลงทุน การผลิตบัณฑิต ในหลักสูตร/สาขาวิชาที่มีความต้องการครุภัณฑ์ตามรายการคำขอครุภัณฑ์ ")</f>
        <v>เอกสารแสดงความคุ้มค่าต่อการลงทุน การผลิตบัณฑิต ในหลักสูตร/สาขาวิชาที่มีความต้องการครุภัณฑ์ตามรายการคำขอครุภัณฑ์ </v>
      </c>
      <c r="T3" s="11" t="str">
        <f>IFERROR(__xludf.DUMMYFUNCTION("""COMPUTED_VALUE"""),"ด้านเซมิคอนดักเตอร์ (Semiconductor)")</f>
        <v>ด้านเซมิคอนดักเตอร์ (Semiconductor)</v>
      </c>
      <c r="U3" s="11" t="str">
        <f>IFERROR(__xludf.DUMMYFUNCTION("""COMPUTED_VALUE"""),"สิ่งก่อสร้าง 1 ปี")</f>
        <v>สิ่งก่อสร้าง 1 ปี</v>
      </c>
      <c r="V3" s="11" t="str">
        <f>IFERROR(__xludf.DUMMYFUNCTION("""COMPUTED_VALUE"""),"สิ่งก่อสร้างใหม่")</f>
        <v>สิ่งก่อสร้างใหม่</v>
      </c>
      <c r="W3" s="11" t="str">
        <f>IFERROR(__xludf.DUMMYFUNCTION("""COMPUTED_VALUE"""),"อาคารการศึกษา")</f>
        <v>อาคารการศึกษา</v>
      </c>
      <c r="X3" s="11" t="str">
        <f>IFERROR(__xludf.DUMMYFUNCTION("""COMPUTED_VALUE"""),"ต่ำ")</f>
        <v>ต่ำ</v>
      </c>
      <c r="Y3" s="11" t="str">
        <f>IFERROR(__xludf.DUMMYFUNCTION("""COMPUTED_VALUE"""),"รายการ")</f>
        <v>รายการ</v>
      </c>
      <c r="Z3" s="11" t="str">
        <f>IFERROR(__xludf.DUMMYFUNCTION("""COMPUTED_VALUE"""),"01- อุตสาหกรรมยานยนต์สมัยใหม่ (First S-curve)")</f>
        <v>01- อุตสาหกรรมยานยนต์สมัยใหม่ (First S-curve)</v>
      </c>
      <c r="AA3" s="11" t="str">
        <f>IFERROR(__xludf.DUMMYFUNCTION("""COMPUTED_VALUE"""),"1. ประสิทธิภาพ")</f>
        <v>1. ประสิทธิภาพ</v>
      </c>
      <c r="AB3" s="11"/>
      <c r="AC3" s="11"/>
      <c r="AD3" s="11"/>
      <c r="AE3" s="11"/>
    </row>
    <row r="4">
      <c r="A4" s="31" t="str">
        <f>IFERROR(__xludf.DUMMYFUNCTION("""COMPUTED_VALUE"""),"13000 : คณะทันตแพทยศาสตร์")</f>
        <v>13000 : คณะทันตแพทยศาสตร์</v>
      </c>
      <c r="B4" s="31" t="str">
        <f>IFERROR(__xludf.DUMMYFUNCTION("""COMPUTED_VALUE"""),"คณะทันตแพทยศาสตร์")</f>
        <v>คณะทันตแพทยศาสตร์</v>
      </c>
      <c r="E4" s="31" t="str">
        <f>IFERROR(__xludf.DUMMYFUNCTION("""COMPUTED_VALUE"""),"สรุปคำขอรายการสิ่งก่อสร้าง")</f>
        <v>สรุปคำขอรายการสิ่งก่อสร้าง</v>
      </c>
      <c r="G4" s="11" t="str">
        <f>IFERROR(__xludf.DUMMYFUNCTION("""COMPUTED_VALUE"""),"2001 : แผนงานบริหารและสนับสนุนการดำเนินงานของมหาวิทยาลัย ส่วนงาน และหน่วยงาน")</f>
        <v>2001 : แผนงานบริหารและสนับสนุนการดำเนินงานของมหาวิทยาลัย ส่วนงาน และหน่วยงาน</v>
      </c>
      <c r="H4" s="11" t="str">
        <f>IFERROR(__xludf.DUMMYFUNCTION("""COMPUTED_VALUE"""),"002003 : สนับสนุนการจัดการเรียนการสอน")</f>
        <v>002003 : สนับสนุนการจัดการเรียนการสอน</v>
      </c>
      <c r="I4" s="11" t="str">
        <f>IFERROR(__xludf.DUMMYFUNCTION("""COMPUTED_VALUE"""),"101101 : การเรียนการสอน")</f>
        <v>101101 : การเรียนการสอน</v>
      </c>
      <c r="J4" s="11"/>
      <c r="K4" s="11" t="str">
        <f>IFERROR(__xludf.DUMMYFUNCTION("""COMPUTED_VALUE"""),"ครุภัณฑ์นอกมาตรฐาน")</f>
        <v>ครุภัณฑ์นอกมาตรฐาน</v>
      </c>
      <c r="L4" s="11" t="str">
        <f>IFERROR(__xludf.DUMMYFUNCTION("""COMPUTED_VALUE"""),"ครุภัณฑ์นำเข้าจากต่างประเทศ")</f>
        <v>ครุภัณฑ์นำเข้าจากต่างประเทศ</v>
      </c>
      <c r="M4" s="11" t="str">
        <f>IFERROR(__xludf.DUMMYFUNCTION("""COMPUTED_VALUE"""),"ครุภัณฑ์ใหม่")</f>
        <v>ครุภัณฑ์ใหม่</v>
      </c>
      <c r="N4" s="11" t="str">
        <f>IFERROR(__xludf.DUMMYFUNCTION("""COMPUTED_VALUE"""),"กรณีไม่เคยมีครุภัณฑ์รายการที่ขอตั้งใหม่นี้")</f>
        <v>กรณีไม่เคยมีครุภัณฑ์รายการที่ขอตั้งใหม่นี้</v>
      </c>
      <c r="O4" s="11" t="str">
        <f>IFERROR(__xludf.DUMMYFUNCTION("""COMPUTED_VALUE"""),"ครุภัณฑ์ยานพาหนะและขนส่ง")</f>
        <v>ครุภัณฑ์ยานพาหนะและขนส่ง</v>
      </c>
      <c r="P4" s="11">
        <f>IFERROR(__xludf.DUMMYFUNCTION("""COMPUTED_VALUE"""),8.0)</f>
        <v>8</v>
      </c>
      <c r="Q4" s="11" t="str">
        <f>IFERROR(__xludf.DUMMYFUNCTION("""COMPUTED_VALUE"""),"บุคลากรผู้รับผิดชอบ")</f>
        <v>บุคลากรผู้รับผิดชอบ</v>
      </c>
      <c r="R4" s="11" t="str">
        <f>IFERROR(__xludf.DUMMYFUNCTION("""COMPUTED_VALUE"""),"ใช้ร่วมกับส่วนงาน/หน่วยงานอื่นในมหาวิทยาลัยได้")</f>
        <v>ใช้ร่วมกับส่วนงาน/หน่วยงานอื่นในมหาวิทยาลัยได้</v>
      </c>
      <c r="S4" s="11" t="str">
        <f>IFERROR(__xludf.DUMMYFUNCTION("""COMPUTED_VALUE"""),"เอกสารแสดงความสอดคล้องกับแผนยุทธศาสตร์ของมหาวิทยาลัย/คณะ หรือแผนปฏิบัติการประจำปี")</f>
        <v>เอกสารแสดงความสอดคล้องกับแผนยุทธศาสตร์ของมหาวิทยาลัย/คณะ หรือแผนปฏิบัติการประจำปี</v>
      </c>
      <c r="T4" s="11" t="str">
        <f>IFERROR(__xludf.DUMMYFUNCTION("""COMPUTED_VALUE"""),"ด้านยานยนต์ไฟฟ้า (EV)")</f>
        <v>ด้านยานยนต์ไฟฟ้า (EV)</v>
      </c>
      <c r="U4" s="11" t="str">
        <f>IFERROR(__xludf.DUMMYFUNCTION("""COMPUTED_VALUE"""),"สิ่งก่อสร้างผูกพันใหม่")</f>
        <v>สิ่งก่อสร้างผูกพันใหม่</v>
      </c>
      <c r="V4" s="11" t="str">
        <f>IFERROR(__xludf.DUMMYFUNCTION("""COMPUTED_VALUE"""),"สิ่งก่อสร้างทดแทน")</f>
        <v>สิ่งก่อสร้างทดแทน</v>
      </c>
      <c r="W4" s="11" t="str">
        <f>IFERROR(__xludf.DUMMYFUNCTION("""COMPUTED_VALUE"""),"อาคารสาธารณสุข")</f>
        <v>อาคารสาธารณสุข</v>
      </c>
      <c r="X4" s="11" t="str">
        <f>IFERROR(__xludf.DUMMYFUNCTION("""COMPUTED_VALUE"""),"กลาง")</f>
        <v>กลาง</v>
      </c>
      <c r="Y4" s="11" t="str">
        <f>IFERROR(__xludf.DUMMYFUNCTION("""COMPUTED_VALUE"""),"เครื่อง")</f>
        <v>เครื่อง</v>
      </c>
      <c r="Z4" s="11" t="str">
        <f>IFERROR(__xludf.DUMMYFUNCTION("""COMPUTED_VALUE"""),"02 - อุตสาหกรรรมอิเล็กทรอนิกส์อัจฉริยะ (First S-curve)")</f>
        <v>02 - อุตสาหกรรรมอิเล็กทรอนิกส์อัจฉริยะ (First S-curve)</v>
      </c>
      <c r="AA4" s="11" t="str">
        <f>IFERROR(__xludf.DUMMYFUNCTION("""COMPUTED_VALUE"""),"2. ประสิทธิผล")</f>
        <v>2. ประสิทธิผล</v>
      </c>
      <c r="AB4" s="47" t="str">
        <f>IFERROR(__xludf.DUMMYFUNCTION("""COMPUTED_VALUE"""),"SDG01 : ยุติความยากจนทุกรูปแบบในทุกที่  
SDG0103 : ด่าเนินการให้ทุกคนสามารถเข้าถึงระบบและมาตรการการคุ้มครองทางสังคมในระดับประเทศที่เหมาะสม ซึ่งรวมถึงการคุ้มครองทางสังคมขั้นพื้นฐาน (floors) และขยายความครอบคลุมถึงกลุ่มประชากรยากจนและกลุ่มเปราะบาง ภายในปี พ"&amp;".ศ. 2573")</f>
        <v>SDG01 : ยุติความยากจนทุกรูปแบบในทุกที่  
SDG0103 : ด่าเนินการให้ทุกคนสามารถเข้าถึงระบบและมาตรการการคุ้มครองทางสังคมในระดับประเทศที่เหมาะสม ซึ่งรวมถึงการคุ้มครองทางสังคมขั้นพื้นฐาน (floors) และขยายความครอบคลุมถึงกลุ่มประชากรยากจนและกลุ่มเปราะบาง ภายในปี พ.ศ. 2573</v>
      </c>
      <c r="AC4" s="11"/>
      <c r="AD4" s="11"/>
      <c r="AE4" s="11"/>
    </row>
    <row r="5">
      <c r="A5" s="31" t="str">
        <f>IFERROR(__xludf.DUMMYFUNCTION("""COMPUTED_VALUE"""),"09000 : คณะเทคนิคการแพทย์")</f>
        <v>09000 : คณะเทคนิคการแพทย์</v>
      </c>
      <c r="B5" s="31" t="str">
        <f>IFERROR(__xludf.DUMMYFUNCTION("""COMPUTED_VALUE"""),"คณะเทคนิคการแพทย์")</f>
        <v>คณะเทคนิคการแพทย์</v>
      </c>
      <c r="E5" s="31" t="str">
        <f>IFERROR(__xludf.DUMMYFUNCTION("""COMPUTED_VALUE"""),"สรุปคำขอรายการเงินอุดหนุน")</f>
        <v>สรุปคำขอรายการเงินอุดหนุน</v>
      </c>
      <c r="G5" s="11" t="str">
        <f>IFERROR(__xludf.DUMMYFUNCTION("""COMPUTED_VALUE"""),"2299 : แผนงานจัดการศึกษาด้านวิทยาศาสตร์สุขภาพ")</f>
        <v>2299 : แผนงานจัดการศึกษาด้านวิทยาศาสตร์สุขภาพ</v>
      </c>
      <c r="H5" s="11" t="str">
        <f>IFERROR(__xludf.DUMMYFUNCTION("""COMPUTED_VALUE"""),"002201 : จัดการเรียนการสอนด้านวิทยาศาสตร์สุขภาพ")</f>
        <v>002201 : จัดการเรียนการสอนด้านวิทยาศาสตร์สุขภาพ</v>
      </c>
      <c r="I5" s="11" t="str">
        <f>IFERROR(__xludf.DUMMYFUNCTION("""COMPUTED_VALUE"""),"101101 : การเรียนการสอน")</f>
        <v>101101 : การเรียนการสอน</v>
      </c>
      <c r="J5" s="11"/>
      <c r="K5" s="11"/>
      <c r="L5" s="11"/>
      <c r="M5" s="11" t="str">
        <f>IFERROR(__xludf.DUMMYFUNCTION("""COMPUTED_VALUE"""),"ครุภัณฑ์เพิ่มประสิทธิภาพ")</f>
        <v>ครุภัณฑ์เพิ่มประสิทธิภาพ</v>
      </c>
      <c r="N5" s="11" t="str">
        <f>IFERROR(__xludf.DUMMYFUNCTION("""COMPUTED_VALUE"""),"เพิ่มปริมาณเป้าหมายผลผลิต กรณี มีครุภัณฑ์เดิมอยู่แล้วแต่มีความความจำเป็นของตั้งครุภัณฑ์เพื่อเพิ่มประสิทธิภาพการจัดการเรียนการสอน")</f>
        <v>เพิ่มปริมาณเป้าหมายผลผลิต กรณี มีครุภัณฑ์เดิมอยู่แล้วแต่มีความความจำเป็นของตั้งครุภัณฑ์เพื่อเพิ่มประสิทธิภาพการจัดการเรียนการสอน</v>
      </c>
      <c r="O5" s="11" t="str">
        <f>IFERROR(__xludf.DUMMYFUNCTION("""COMPUTED_VALUE"""),"ครุภัณฑ์ไฟฟ้าและวิทยุ")</f>
        <v>ครุภัณฑ์ไฟฟ้าและวิทยุ</v>
      </c>
      <c r="P5" s="11">
        <f>IFERROR(__xludf.DUMMYFUNCTION("""COMPUTED_VALUE"""),5.0)</f>
        <v>5</v>
      </c>
      <c r="Q5" s="11" t="str">
        <f>IFERROR(__xludf.DUMMYFUNCTION("""COMPUTED_VALUE"""),"ค่าใช้จ่ายต่อเนื่อง")</f>
        <v>ค่าใช้จ่ายต่อเนื่อง</v>
      </c>
      <c r="R5" s="11"/>
      <c r="S5" s="11"/>
      <c r="T5" s="11" t="str">
        <f>IFERROR(__xludf.DUMMYFUNCTION("""COMPUTED_VALUE"""),"ด้านปัญญาประดิษฐ์ (AI)")</f>
        <v>ด้านปัญญาประดิษฐ์ (AI)</v>
      </c>
      <c r="U5" s="11" t="str">
        <f>IFERROR(__xludf.DUMMYFUNCTION("""COMPUTED_VALUE"""),"ปรับปรุงสิ่งก่อสร้าง (ปรับปรุงหรือต่อเติมหรือซ่อมแซม)")</f>
        <v>ปรับปรุงสิ่งก่อสร้าง (ปรับปรุงหรือต่อเติมหรือซ่อมแซม)</v>
      </c>
      <c r="V5" s="11"/>
      <c r="W5" s="11" t="str">
        <f>IFERROR(__xludf.DUMMYFUNCTION("""COMPUTED_VALUE"""),"อาคารและสิ่งก่อสร้างอื่น ๆ (เช่น สนามกีฬา หอประชุม อาคารอเนกประสงค์)")</f>
        <v>อาคารและสิ่งก่อสร้างอื่น ๆ (เช่น สนามกีฬา หอประชุม อาคารอเนกประสงค์)</v>
      </c>
      <c r="X5" s="11" t="str">
        <f>IFERROR(__xludf.DUMMYFUNCTION("""COMPUTED_VALUE"""),"สูง")</f>
        <v>สูง</v>
      </c>
      <c r="Y5" s="11" t="str">
        <f>IFERROR(__xludf.DUMMYFUNCTION("""COMPUTED_VALUE"""),"ชุด")</f>
        <v>ชุด</v>
      </c>
      <c r="Z5" s="11" t="str">
        <f>IFERROR(__xludf.DUMMYFUNCTION("""COMPUTED_VALUE"""),"03 - อุตสาหกรรมการท่องเทียวกลุ่มรายได้ดีและการท่องเที่ยวเชิงสุขภาพ (First S-curve) ")</f>
        <v>03 - อุตสาหกรรมการท่องเทียวกลุ่มรายได้ดีและการท่องเที่ยวเชิงสุขภาพ (First S-curve) </v>
      </c>
      <c r="AA5" s="11" t="str">
        <f>IFERROR(__xludf.DUMMYFUNCTION("""COMPUTED_VALUE"""),"3. การตอบสนอง")</f>
        <v>3. การตอบสนอง</v>
      </c>
      <c r="AB5" s="47" t="str">
        <f>IFERROR(__xludf.DUMMYFUNCTION("""COMPUTED_VALUE"""),"SDG03 : สร้างหลักประกันการมีสุขภาวะที่ดี และส่งเสริมความเป็นอยู่ที่ดี ส่าหรับทุกคนในทุกช่วงวัย 
SDG0307 : สร้างหลักประกันถ้วนหน้าในการเข้าถึงบริการสุขภาวะทางเพศและอนามัยการเจริญพันธุ์ รวมถึงการวางแผนครอบครัว ข้อมูลข่าวสารและความรู้ และการบูรณาการอนามัยกา"&amp;"รเจริญพันธุ์ในยุทธศาสตร์และแผนงานระดับชาติ ภายในปี พ.ศ. 2573     
SDG0308 : บรรลุการมีหลักประกันสุขภาพถ้วนหน้า รวมถึงการป้องกันความเสี่ยงทางการเงิน การเข้าถึงการบริการสาธารณสุขจ่าเป็นที่มีคุณภาพ และเข้าถึงยาและวัคซีนจ่าเป็นที่ปลอดภัย มีประสิทธิภาพ มีคุณภ"&amp;"าพ และมีราคาที่สามารถซื้อหาได้")</f>
        <v>SDG03 : สร้างหลักประกันการมีสุขภาวะที่ดี และส่งเสริมความเป็นอยู่ที่ดี ส่าหรับทุกคนในทุกช่วงวัย 
SDG0307 : สร้างหลักประกันถ้วนหน้าในการเข้าถึงบริการสุขภาวะทางเพศและอนามัยการเจริญพันธุ์ รวมถึงการวางแผนครอบครัว ข้อมูลข่าวสารและความรู้ และการบูรณาการอนามัยการเจริญพันธุ์ในยุทธศาสตร์และแผนงานระดับชาติ ภายในปี พ.ศ. 2573     
SDG0308 : บรรลุการมีหลักประกันสุขภาพถ้วนหน้า รวมถึงการป้องกันความเสี่ยงทางการเงิน การเข้าถึงการบริการสาธารณสุขจ่าเป็นที่มีคุณภาพ และเข้าถึงยาและวัคซีนจ่าเป็นที่ปลอดภัย มีประสิทธิภาพ มีคุณภาพ และมีราคาที่สามารถซื้อหาได้</v>
      </c>
      <c r="AC5" s="11"/>
      <c r="AD5" s="11"/>
      <c r="AE5" s="11"/>
    </row>
    <row r="6">
      <c r="A6" s="31" t="str">
        <f>IFERROR(__xludf.DUMMYFUNCTION("""COMPUTED_VALUE"""),"16000 : คณะเทคโนโลยี")</f>
        <v>16000 : คณะเทคโนโลยี</v>
      </c>
      <c r="B6" s="31" t="str">
        <f>IFERROR(__xludf.DUMMYFUNCTION("""COMPUTED_VALUE"""),"คณะเทคโนโลยี")</f>
        <v>คณะเทคโนโลยี</v>
      </c>
      <c r="E6" s="31" t="str">
        <f>IFERROR(__xludf.DUMMYFUNCTION("""COMPUTED_VALUE"""),"แบบแสดงคำของบประมาณรายจ่ายประจำปีงบประมาณ พ.ศ. 2570")</f>
        <v>แบบแสดงคำของบประมาณรายจ่ายประจำปีงบประมาณ พ.ศ. 2570</v>
      </c>
      <c r="G6" s="11" t="str">
        <f>IFERROR(__xludf.DUMMYFUNCTION("""COMPUTED_VALUE"""),"2399 : แผนงานจัดการศึกษาด้านสังคมศาสตร์")</f>
        <v>2399 : แผนงานจัดการศึกษาด้านสังคมศาสตร์</v>
      </c>
      <c r="H6" s="11" t="str">
        <f>IFERROR(__xludf.DUMMYFUNCTION("""COMPUTED_VALUE"""),"002301 : จัดการเรียนการสอนด้านมนุษยศาสตร์และสังคมศาสตร์")</f>
        <v>002301 : จัดการเรียนการสอนด้านมนุษยศาสตร์และสังคมศาสตร์</v>
      </c>
      <c r="I6" s="11" t="str">
        <f>IFERROR(__xludf.DUMMYFUNCTION("""COMPUTED_VALUE"""),"101101 : การเรียนการสอน")</f>
        <v>101101 : การเรียนการสอน</v>
      </c>
      <c r="J6" s="11"/>
      <c r="K6" s="11"/>
      <c r="L6" s="11"/>
      <c r="M6" s="11" t="str">
        <f>IFERROR(__xludf.DUMMYFUNCTION("""COMPUTED_VALUE"""),"ครุภัณฑ์ประจำอาคาร")</f>
        <v>ครุภัณฑ์ประจำอาคาร</v>
      </c>
      <c r="N6" s="11" t="str">
        <f>IFERROR(__xludf.DUMMYFUNCTION("""COMPUTED_VALUE"""),"หากไม่มีครุภัณฑ์ไม่สามารถเปิดใช้อาคารได้ ")</f>
        <v>หากไม่มีครุภัณฑ์ไม่สามารถเปิดใช้อาคารได้ </v>
      </c>
      <c r="O6" s="11" t="str">
        <f>IFERROR(__xludf.DUMMYFUNCTION("""COMPUTED_VALUE"""),"ครุภัณฑ์โฆษณาและเผยแพร่")</f>
        <v>ครุภัณฑ์โฆษณาและเผยแพร่</v>
      </c>
      <c r="P6" s="11">
        <f>IFERROR(__xludf.DUMMYFUNCTION("""COMPUTED_VALUE"""),5.0)</f>
        <v>5</v>
      </c>
      <c r="Q6" s="11" t="str">
        <f>IFERROR(__xludf.DUMMYFUNCTION("""COMPUTED_VALUE"""),"แผนการใช้ประโยชน์")</f>
        <v>แผนการใช้ประโยชน์</v>
      </c>
      <c r="R6" s="11"/>
      <c r="S6" s="11"/>
      <c r="T6" s="11" t="str">
        <f>IFERROR(__xludf.DUMMYFUNCTION("""COMPUTED_VALUE"""),"ความมั่นคงปลอดภัยไซเบอร์ (Cyber Security)")</f>
        <v>ความมั่นคงปลอดภัยไซเบอร์ (Cyber Security)</v>
      </c>
      <c r="U6" s="11"/>
      <c r="V6" s="11"/>
      <c r="W6" s="11"/>
      <c r="X6" s="11"/>
      <c r="Y6" s="11" t="str">
        <f>IFERROR(__xludf.DUMMYFUNCTION("""COMPUTED_VALUE"""),"ชิ้น")</f>
        <v>ชิ้น</v>
      </c>
      <c r="Z6" s="11" t="str">
        <f>IFERROR(__xludf.DUMMYFUNCTION("""COMPUTED_VALUE"""),"04 - การเกษตรและเทคโนโลยีชีวภาพ (First S-curve)")</f>
        <v>04 - การเกษตรและเทคโนโลยีชีวภาพ (First S-curve)</v>
      </c>
      <c r="AA6" s="11" t="str">
        <f>IFERROR(__xludf.DUMMYFUNCTION("""COMPUTED_VALUE"""),"4. ภาระรับผิดชอบ/สามารถตรวจสอบได้")</f>
        <v>4. ภาระรับผิดชอบ/สามารถตรวจสอบได้</v>
      </c>
      <c r="AB6" s="47" t="str">
        <f>IFERROR(__xludf.DUMMYFUNCTION("""COMPUTED_VALUE"""),"SDG04 : สร้างหลักประกันว่าทุกคนมีการศึกษา ที่มีคุณภาพอย่างครอบคลุมและเท่าเทียม และสนับสนุนโอกาสในการเรียนรู้ตลอดชีวิต   
SDG0404 :เพิ่มจ่านวนเยาวชนและผู้ใหญ่ที่มีทักษะที่เกี่ยวข้องจ่าเป็น รวมถึงทักษะทางเทคนิคและอาชีพส่าหรับการจ้างงาน การมีงานที่มีคุณค่า "&amp;"และการเป็นผู้ประกอบการ ภายในปี พ.ศ. 2573    ")</f>
        <v>SDG04 : สร้างหลักประกันว่าทุกคนมีการศึกษา ที่มีคุณภาพอย่างครอบคลุมและเท่าเทียม และสนับสนุนโอกาสในการเรียนรู้ตลอดชีวิต   
SDG0404 :เพิ่มจ่านวนเยาวชนและผู้ใหญ่ที่มีทักษะที่เกี่ยวข้องจ่าเป็น รวมถึงทักษะทางเทคนิคและอาชีพส่าหรับการจ้างงาน การมีงานที่มีคุณค่า และการเป็นผู้ประกอบการ ภายในปี พ.ศ. 2573    </v>
      </c>
      <c r="AC6" s="11"/>
      <c r="AD6" s="11"/>
      <c r="AE6" s="11"/>
    </row>
    <row r="7">
      <c r="A7" s="31" t="str">
        <f>IFERROR(__xludf.DUMMYFUNCTION("""COMPUTED_VALUE"""),"30000 : คณะนิติศาสตร์")</f>
        <v>30000 : คณะนิติศาสตร์</v>
      </c>
      <c r="B7" s="31" t="str">
        <f>IFERROR(__xludf.DUMMYFUNCTION("""COMPUTED_VALUE"""),"คณะนิติศาสตร์")</f>
        <v>คณะนิติศาสตร์</v>
      </c>
      <c r="E7" s="31" t="str">
        <f>IFERROR(__xludf.DUMMYFUNCTION("""COMPUTED_VALUE"""),"คำของบประมาณรายจ่ายงบดำเนินงาน หมวดรายจ่ายค่าตอบแทน รายการค่าเช่าบ้าน
ประจำปีงบประมาณ พ.ศ. 2570")</f>
        <v>คำของบประมาณรายจ่ายงบดำเนินงาน หมวดรายจ่ายค่าตอบแทน รายการค่าเช่าบ้าน
ประจำปีงบประมาณ พ.ศ. 2570</v>
      </c>
      <c r="G7" s="11" t="str">
        <f>IFERROR(__xludf.DUMMYFUNCTION("""COMPUTED_VALUE"""),"3001 : แผนงานบริการรักษาพยาบาล")</f>
        <v>3001 : แผนงานบริการรักษาพยาบาล</v>
      </c>
      <c r="H7" s="11" t="str">
        <f>IFERROR(__xludf.DUMMYFUNCTION("""COMPUTED_VALUE"""),"003001 : การเพิ่มศักยภาพการให้บริการรักษาพยาบาลโรงพยาบาลศรีนครินทร์")</f>
        <v>003001 : การเพิ่มศักยภาพการให้บริการรักษาพยาบาลโรงพยาบาลศรีนครินทร์</v>
      </c>
      <c r="I7" s="11" t="str">
        <f>IFERROR(__xludf.DUMMYFUNCTION("""COMPUTED_VALUE"""),"101104 : การบริการรักษาพยาบาล")</f>
        <v>101104 : การบริการรักษาพยาบาล</v>
      </c>
      <c r="J7" s="11"/>
      <c r="K7" s="11"/>
      <c r="L7" s="11"/>
      <c r="M7" s="11"/>
      <c r="N7" s="11"/>
      <c r="O7" s="11" t="str">
        <f>IFERROR(__xludf.DUMMYFUNCTION("""COMPUTED_VALUE"""),"ครุภัณฑ์การเกษตร - เครื่องมืออุปกรณ์")</f>
        <v>ครุภัณฑ์การเกษตร - เครื่องมืออุปกรณ์</v>
      </c>
      <c r="P7" s="11">
        <f>IFERROR(__xludf.DUMMYFUNCTION("""COMPUTED_VALUE"""),3.0)</f>
        <v>3</v>
      </c>
      <c r="Q7" s="11"/>
      <c r="R7" s="11"/>
      <c r="S7" s="11"/>
      <c r="T7" s="11" t="str">
        <f>IFERROR(__xludf.DUMMYFUNCTION("""COMPUTED_VALUE"""),"แบตเตอรี่และพลังงานยุคใหม่")</f>
        <v>แบตเตอรี่และพลังงานยุคใหม่</v>
      </c>
      <c r="U7" s="11"/>
      <c r="V7" s="11"/>
      <c r="W7" s="11"/>
      <c r="X7" s="11"/>
      <c r="Y7" s="11" t="str">
        <f>IFERROR(__xludf.DUMMYFUNCTION("""COMPUTED_VALUE"""),"ตู้")</f>
        <v>ตู้</v>
      </c>
      <c r="Z7" s="11" t="str">
        <f>IFERROR(__xludf.DUMMYFUNCTION("""COMPUTED_VALUE"""),"05 - อุตสาหกรรมการแปรรูปอาหาร (First S-curve)")</f>
        <v>05 - อุตสาหกรรมการแปรรูปอาหาร (First S-curve)</v>
      </c>
      <c r="AA7" s="11" t="str">
        <f>IFERROR(__xludf.DUMMYFUNCTION("""COMPUTED_VALUE"""),"5. เปิดเผย/โปร่งใส")</f>
        <v>5. เปิดเผย/โปร่งใส</v>
      </c>
      <c r="AB7" s="47" t="str">
        <f>IFERROR(__xludf.DUMMYFUNCTION("""COMPUTED_VALUE"""),"SDG08 : ส่งเสริมการเจริญเติบโตทางเศรษฐกิจ ที่ต่อเนื่อง ครอบคลุม และยั่งยืน การจ้างงาน เต็มที่และมีผลิตภาพ และการมีงานที่มีคุณค่า ส่าหรับทุกคน
SDG0805 : บรรลุการจ้างงานเต็มที่และมีผลิตภาพ และการมีงานที่มีคุณค่าส่าหรับหญิงและชายทุกคน รวมถึงเยาวชนและผู้พิกา"&amp;"ร และให้มีการจ่ายค่าจ้างที่เท่าเทียมส่าหรับงานที่มีคุณค่าเท่าเทียมกัน ภายในปี พ.ศ. 2573")</f>
        <v>SDG08 : ส่งเสริมการเจริญเติบโตทางเศรษฐกิจ ที่ต่อเนื่อง ครอบคลุม และยั่งยืน การจ้างงาน เต็มที่และมีผลิตภาพ และการมีงานที่มีคุณค่า ส่าหรับทุกคน
SDG0805 : บรรลุการจ้างงานเต็มที่และมีผลิตภาพ และการมีงานที่มีคุณค่าส่าหรับหญิงและชายทุกคน รวมถึงเยาวชนและผู้พิการ และให้มีการจ่ายค่าจ้างที่เท่าเทียมส่าหรับงานที่มีคุณค่าเท่าเทียมกัน ภายในปี พ.ศ. 2573</v>
      </c>
      <c r="AC7" s="11"/>
      <c r="AD7" s="11"/>
      <c r="AE7" s="11"/>
    </row>
    <row r="8">
      <c r="A8" s="31" t="str">
        <f>IFERROR(__xludf.DUMMYFUNCTION("""COMPUTED_VALUE"""),"22000 : คณะบริหารธุรกิจและการบัญชี")</f>
        <v>22000 : คณะบริหารธุรกิจและการบัญชี</v>
      </c>
      <c r="B8" s="31" t="str">
        <f>IFERROR(__xludf.DUMMYFUNCTION("""COMPUTED_VALUE"""),"คณะบริหารธุรกิจและการบัญชี")</f>
        <v>คณะบริหารธุรกิจและการบัญชี</v>
      </c>
      <c r="E8" s="31" t="str">
        <f>IFERROR(__xludf.DUMMYFUNCTION("""COMPUTED_VALUE"""),"คำของงบประมาณค่าตอบแทนเงินเพิ่มตำแหน่งที่มีเหตุพิเศษตำแหน่งนิติกร (พ.ต.ก.)
ประจำปีงบประมาณ พ.ศ. 2570")</f>
        <v>คำของงบประมาณค่าตอบแทนเงินเพิ่มตำแหน่งที่มีเหตุพิเศษตำแหน่งนิติกร (พ.ต.ก.)
ประจำปีงบประมาณ พ.ศ. 2570</v>
      </c>
      <c r="G8" s="11" t="str">
        <f>IFERROR(__xludf.DUMMYFUNCTION("""COMPUTED_VALUE"""),"3101 : แผนงานผลิตแพทย์เพิ่ม")</f>
        <v>3101 : แผนงานผลิตแพทย์เพิ่ม</v>
      </c>
      <c r="H8" s="11" t="str">
        <f>IFERROR(__xludf.DUMMYFUNCTION("""COMPUTED_VALUE"""),"003006 : จัดการเรียนการสอนโครงการผลิตแพทย์เพิ่ม")</f>
        <v>003006 : จัดการเรียนการสอนโครงการผลิตแพทย์เพิ่ม</v>
      </c>
      <c r="I8" s="11" t="str">
        <f>IFERROR(__xludf.DUMMYFUNCTION("""COMPUTED_VALUE"""),"124252 : เงินอุดหนุนการผลิตแพทย์เพิ่ม")</f>
        <v>124252 : เงินอุดหนุนการผลิตแพทย์เพิ่ม</v>
      </c>
      <c r="J8" s="11"/>
      <c r="K8" s="11"/>
      <c r="L8" s="11"/>
      <c r="M8" s="11"/>
      <c r="N8" s="11"/>
      <c r="O8" s="11" t="str">
        <f>IFERROR(__xludf.DUMMYFUNCTION("""COMPUTED_VALUE"""),"ครุภัณฑ์การเกษตร - เครื่องจักรกล")</f>
        <v>ครุภัณฑ์การเกษตร - เครื่องจักรกล</v>
      </c>
      <c r="P8" s="11">
        <f>IFERROR(__xludf.DUMMYFUNCTION("""COMPUTED_VALUE"""),5.0)</f>
        <v>5</v>
      </c>
      <c r="Q8" s="11"/>
      <c r="R8" s="11"/>
      <c r="S8" s="11"/>
      <c r="T8" s="11" t="str">
        <f>IFERROR(__xludf.DUMMYFUNCTION("""COMPUTED_VALUE"""),"ไม่เกี่ยวข้อง")</f>
        <v>ไม่เกี่ยวข้อง</v>
      </c>
      <c r="U8" s="11"/>
      <c r="V8" s="11"/>
      <c r="W8" s="11"/>
      <c r="X8" s="11"/>
      <c r="Y8" s="11" t="str">
        <f>IFERROR(__xludf.DUMMYFUNCTION("""COMPUTED_VALUE"""),"เตียง")</f>
        <v>เตียง</v>
      </c>
      <c r="Z8" s="11" t="str">
        <f>IFERROR(__xludf.DUMMYFUNCTION("""COMPUTED_VALUE"""),"06 - อุตสาหกรรมหุ่นยนต์เพื่ออุตสาหกรรม (New S-curve) ")</f>
        <v>06 - อุตสาหกรรมหุ่นยนต์เพื่ออุตสาหกรรม (New S-curve) </v>
      </c>
      <c r="AA8" s="11" t="str">
        <f>IFERROR(__xludf.DUMMYFUNCTION("""COMPUTED_VALUE"""),"6. หลักนิติธรรม")</f>
        <v>6. หลักนิติธรรม</v>
      </c>
      <c r="AB8" s="11"/>
      <c r="AC8" s="11"/>
      <c r="AD8" s="11"/>
      <c r="AE8" s="11"/>
    </row>
    <row r="9">
      <c r="A9" s="31" t="str">
        <f>IFERROR(__xludf.DUMMYFUNCTION("""COMPUTED_VALUE"""),"06000 : คณะพยาบาลศาสตร์")</f>
        <v>06000 : คณะพยาบาลศาสตร์</v>
      </c>
      <c r="B9" s="31" t="str">
        <f>IFERROR(__xludf.DUMMYFUNCTION("""COMPUTED_VALUE"""),"คณะพยาบาลศาสตร์")</f>
        <v>คณะพยาบาลศาสตร์</v>
      </c>
      <c r="E9" s="31" t="str">
        <f>IFERROR(__xludf.DUMMYFUNCTION("""COMPUTED_VALUE"""),"คำของงบประมาณค่าตอบแทนผู้ปฎิบัติด้านสาธารณสุข (พตส.) 
ประจำปีงบประมาณ พ.ศ. 2570")</f>
        <v>คำของงบประมาณค่าตอบแทนผู้ปฎิบัติด้านสาธารณสุข (พตส.) 
ประจำปีงบประมาณ พ.ศ. 2570</v>
      </c>
      <c r="G9" s="11" t="str">
        <f>IFERROR(__xludf.DUMMYFUNCTION("""COMPUTED_VALUE"""),"3101 : แผนงานผลิตแพทย์เพิ่ม")</f>
        <v>3101 : แผนงานผลิตแพทย์เพิ่ม</v>
      </c>
      <c r="H9" s="11" t="str">
        <f>IFERROR(__xludf.DUMMYFUNCTION("""COMPUTED_VALUE"""),"003006 : จัดการเรียนการสอนโครงการผลิตแพทย์เพิ่ม")</f>
        <v>003006 : จัดการเรียนการสอนโครงการผลิตแพทย์เพิ่ม</v>
      </c>
      <c r="I9" s="11" t="str">
        <f>IFERROR(__xludf.DUMMYFUNCTION("""COMPUTED_VALUE"""),"131346 : อุดหนุนการผลิตแพทย์เพิ่ม (พ.ศ. 2561 - 2564)")</f>
        <v>131346 : อุดหนุนการผลิตแพทย์เพิ่ม (พ.ศ. 2561 - 2564)</v>
      </c>
      <c r="J9" s="11"/>
      <c r="K9" s="11"/>
      <c r="L9" s="11"/>
      <c r="M9" s="11"/>
      <c r="N9" s="11"/>
      <c r="O9" s="11" t="str">
        <f>IFERROR(__xludf.DUMMYFUNCTION("""COMPUTED_VALUE"""),"ครุภัณฑ์ก่อสร้าง - เครื่องมืออุปกรณ์")</f>
        <v>ครุภัณฑ์ก่อสร้าง - เครื่องมืออุปกรณ์</v>
      </c>
      <c r="P9" s="11">
        <f>IFERROR(__xludf.DUMMYFUNCTION("""COMPUTED_VALUE"""),3.0)</f>
        <v>3</v>
      </c>
      <c r="Q9" s="11"/>
      <c r="R9" s="11"/>
      <c r="S9" s="11"/>
      <c r="T9" s="11"/>
      <c r="U9" s="11"/>
      <c r="V9" s="11"/>
      <c r="W9" s="11"/>
      <c r="X9" s="11"/>
      <c r="Y9" s="11" t="str">
        <f>IFERROR(__xludf.DUMMYFUNCTION("""COMPUTED_VALUE"""),"ถัง")</f>
        <v>ถัง</v>
      </c>
      <c r="Z9" s="11" t="str">
        <f>IFERROR(__xludf.DUMMYFUNCTION("""COMPUTED_VALUE"""),"07 - อุตสาหกรรมการบินและโลจิสติกส์  (New S-curve) ")</f>
        <v>07 - อุตสาหกรรมการบินและโลจิสติกส์  (New S-curve) </v>
      </c>
      <c r="AA9" s="11" t="str">
        <f>IFERROR(__xludf.DUMMYFUNCTION("""COMPUTED_VALUE"""),"7. ความเสมอภาค")</f>
        <v>7. ความเสมอภาค</v>
      </c>
      <c r="AB9" s="11"/>
      <c r="AC9" s="11"/>
      <c r="AD9" s="11"/>
      <c r="AE9" s="11"/>
    </row>
    <row r="10">
      <c r="A10" s="31" t="str">
        <f>IFERROR(__xludf.DUMMYFUNCTION("""COMPUTED_VALUE"""),"07000 : คณะแพทยศาสตร์")</f>
        <v>07000 : คณะแพทยศาสตร์</v>
      </c>
      <c r="B10" s="31" t="str">
        <f>IFERROR(__xludf.DUMMYFUNCTION("""COMPUTED_VALUE"""),"คณะแพทยศาสตร์")</f>
        <v>คณะแพทยศาสตร์</v>
      </c>
      <c r="E10" s="31" t="str">
        <f>IFERROR(__xludf.DUMMYFUNCTION("""COMPUTED_VALUE"""),"รายละเอียดรายการสิ่งก่อสร้าง ประจำปีงบประมาณ พ.ศ. 2570")</f>
        <v>รายละเอียดรายการสิ่งก่อสร้าง ประจำปีงบประมาณ พ.ศ. 2570</v>
      </c>
      <c r="G10" s="11" t="str">
        <f>IFERROR(__xludf.DUMMYFUNCTION("""COMPUTED_VALUE"""),"3101 : แผนงานผลิตแพทย์เพิ่ม")</f>
        <v>3101 : แผนงานผลิตแพทย์เพิ่ม</v>
      </c>
      <c r="H10" s="11" t="str">
        <f>IFERROR(__xludf.DUMMYFUNCTION("""COMPUTED_VALUE"""),"003006 : จัดการเรียนการสอนโครงการผลิตแพทย์เพิ่ม")</f>
        <v>003006 : จัดการเรียนการสอนโครงการผลิตแพทย์เพิ่ม</v>
      </c>
      <c r="I10" s="11" t="str">
        <f>IFERROR(__xludf.DUMMYFUNCTION("""COMPUTED_VALUE"""),"131347 : อุดหนุนการผลิตแพทย์เพิ่ม (พ.ศ. 2565 - 2570)")</f>
        <v>131347 : อุดหนุนการผลิตแพทย์เพิ่ม (พ.ศ. 2565 - 2570)</v>
      </c>
      <c r="J10" s="11"/>
      <c r="K10" s="11"/>
      <c r="L10" s="11"/>
      <c r="M10" s="11"/>
      <c r="N10" s="11"/>
      <c r="O10" s="11" t="str">
        <f>IFERROR(__xludf.DUMMYFUNCTION("""COMPUTED_VALUE"""),"ครุภัณฑ์ก่อสร้าง - เครื่่องจักรกล")</f>
        <v>ครุภัณฑ์ก่อสร้าง - เครื่่องจักรกล</v>
      </c>
      <c r="P10" s="11">
        <f>IFERROR(__xludf.DUMMYFUNCTION("""COMPUTED_VALUE"""),5.0)</f>
        <v>5</v>
      </c>
      <c r="Q10" s="11"/>
      <c r="R10" s="11"/>
      <c r="S10" s="11"/>
      <c r="T10" s="11"/>
      <c r="U10" s="11"/>
      <c r="V10" s="11"/>
      <c r="W10" s="11"/>
      <c r="X10" s="11"/>
      <c r="Y10" s="11" t="str">
        <f>IFERROR(__xludf.DUMMYFUNCTION("""COMPUTED_VALUE"""),"โปรแกรม")</f>
        <v>โปรแกรม</v>
      </c>
      <c r="Z10" s="11" t="str">
        <f>IFERROR(__xludf.DUMMYFUNCTION("""COMPUTED_VALUE"""),"08 - อุตสาหกรรมเชื้อเพลิงชีวภาพและเคมีชีวภาพ (New S-curve) ")</f>
        <v>08 - อุตสาหกรรมเชื้อเพลิงชีวภาพและเคมีชีวภาพ (New S-curve) </v>
      </c>
      <c r="AA10" s="11" t="str">
        <f>IFERROR(__xludf.DUMMYFUNCTION("""COMPUTED_VALUE"""),"8. การมีส่วนร่วม/การพยายามแสวงหาฉันทามติ")</f>
        <v>8. การมีส่วนร่วม/การพยายามแสวงหาฉันทามติ</v>
      </c>
      <c r="AB10" s="11"/>
      <c r="AC10" s="11"/>
      <c r="AD10" s="11"/>
      <c r="AE10" s="11"/>
    </row>
    <row r="11">
      <c r="A11" s="31" t="str">
        <f>IFERROR(__xludf.DUMMYFUNCTION("""COMPUTED_VALUE"""),"07282 : ศูนย์หัวใจสิริกิติ์ภาคตะวันออกเฉียงเหนือ")</f>
        <v>07282 : ศูนย์หัวใจสิริกิติ์ภาคตะวันออกเฉียงเหนือ</v>
      </c>
      <c r="B11" s="31" t="str">
        <f>IFERROR(__xludf.DUMMYFUNCTION("""COMPUTED_VALUE"""),"ศูนย์หัวใจสิริกิติ์ภาคตะวันออกเฉียงเหนือ")</f>
        <v>ศูนย์หัวใจสิริกิติ์ภาคตะวันออกเฉียงเหนือ</v>
      </c>
      <c r="E11" s="31" t="str">
        <f>IFERROR(__xludf.DUMMYFUNCTION("""COMPUTED_VALUE"""),"รายละเอียดรายการครุภัณฑ์ ประจำปีงบประมาณ พ.ศ. 2570")</f>
        <v>รายละเอียดรายการครุภัณฑ์ ประจำปีงบประมาณ พ.ศ. 2570</v>
      </c>
      <c r="G11" s="11" t="str">
        <f>IFERROR(__xludf.DUMMYFUNCTION("""COMPUTED_VALUE"""),"5001 : แผนงานสนับสนุนค่าใช้จ่ายในการจัดการศึกษาตั้งแต่ระดับอนุบาลจนจบการศึกษาขั้นพื้นฐาน")</f>
        <v>5001 : แผนงานสนับสนุนค่าใช้จ่ายในการจัดการศึกษาตั้งแต่ระดับอนุบาลจนจบการศึกษาขั้นพื้นฐาน</v>
      </c>
      <c r="H11" s="11" t="str">
        <f>IFERROR(__xludf.DUMMYFUNCTION("""COMPUTED_VALUE"""),"005001 : การสนับสนุนค่าใช้จ่ายในการจัดการศึกษาขั้นพื้นฐาน")</f>
        <v>005001 : การสนับสนุนค่าใช้จ่ายในการจัดการศึกษาขั้นพื้นฐาน</v>
      </c>
      <c r="I11" s="11" t="str">
        <f>IFERROR(__xludf.DUMMYFUNCTION("""COMPUTED_VALUE"""),"101101 : การเรียนการสอน")</f>
        <v>101101 : การเรียนการสอน</v>
      </c>
      <c r="J11" s="11"/>
      <c r="K11" s="11"/>
      <c r="L11" s="11"/>
      <c r="M11" s="11"/>
      <c r="N11" s="11"/>
      <c r="O11" s="11" t="str">
        <f>IFERROR(__xludf.DUMMYFUNCTION("""COMPUTED_VALUE"""),"ครุภัณฑ์โรงงาน")</f>
        <v>ครุภัณฑ์โรงงาน</v>
      </c>
      <c r="P11" s="11"/>
      <c r="Q11" s="11"/>
      <c r="R11" s="11"/>
      <c r="S11" s="11"/>
      <c r="T11" s="11"/>
      <c r="U11" s="11"/>
      <c r="V11" s="11"/>
      <c r="W11" s="11"/>
      <c r="X11" s="11"/>
      <c r="Y11" s="11" t="str">
        <f>IFERROR(__xludf.DUMMYFUNCTION("""COMPUTED_VALUE"""),"แผ่น")</f>
        <v>แผ่น</v>
      </c>
      <c r="Z11" s="11" t="str">
        <f>IFERROR(__xludf.DUMMYFUNCTION("""COMPUTED_VALUE"""),"09 - อุตสาหกรรมดิจิตอล   (New S-curve) ")</f>
        <v>09 - อุตสาหกรรมดิจิตอล   (New S-curve) </v>
      </c>
      <c r="AA11" s="11" t="str">
        <f>IFERROR(__xludf.DUMMYFUNCTION("""COMPUTED_VALUE"""),"9. การกระจายอำนาจ")</f>
        <v>9. การกระจายอำนาจ</v>
      </c>
      <c r="AB11" s="11"/>
      <c r="AC11" s="11"/>
      <c r="AD11" s="11"/>
      <c r="AE11" s="11"/>
    </row>
    <row r="12">
      <c r="A12" s="31" t="str">
        <f>IFERROR(__xludf.DUMMYFUNCTION("""COMPUTED_VALUE"""),"15000 : คณะเภสัชศาสตร์")</f>
        <v>15000 : คณะเภสัชศาสตร์</v>
      </c>
      <c r="B12" s="31" t="str">
        <f>IFERROR(__xludf.DUMMYFUNCTION("""COMPUTED_VALUE"""),"คณะเภสัชศาสตร์")</f>
        <v>คณะเภสัชศาสตร์</v>
      </c>
      <c r="E12" s="31" t="str">
        <f>IFERROR(__xludf.DUMMYFUNCTION("""COMPUTED_VALUE"""),"รายละเอียดรายการสิ่งก่อสร้างผูกพันใหม่ ประจำปีงบประมาณ พ.ศ. 2570")</f>
        <v>รายละเอียดรายการสิ่งก่อสร้างผูกพันใหม่ ประจำปีงบประมาณ พ.ศ. 2570</v>
      </c>
      <c r="G12" s="11" t="str">
        <f>IFERROR(__xludf.DUMMYFUNCTION("""COMPUTED_VALUE"""),"5001 : แผนงานสนับสนุนค่าใช้จ่ายในการจัดการศึกษาตั้งแต่ระดับอนุบาลจนจบการศึกษาขั้นพื้นฐาน")</f>
        <v>5001 : แผนงานสนับสนุนค่าใช้จ่ายในการจัดการศึกษาตั้งแต่ระดับอนุบาลจนจบการศึกษาขั้นพื้นฐาน</v>
      </c>
      <c r="H12" s="11" t="str">
        <f>IFERROR(__xludf.DUMMYFUNCTION("""COMPUTED_VALUE"""),"005001 : การสนับสนุนค่าใช้จ่ายในการจัดการศึกษาขั้นพื้นฐาน")</f>
        <v>005001 : การสนับสนุนค่าใช้จ่ายในการจัดการศึกษาขั้นพื้นฐาน</v>
      </c>
      <c r="I12" s="11" t="str">
        <f>IFERROR(__xludf.DUMMYFUNCTION("""COMPUTED_VALUE"""),"213511 : ค่าหนังสือเรียน")</f>
        <v>213511 : ค่าหนังสือเรียน</v>
      </c>
      <c r="J12" s="11"/>
      <c r="K12" s="11"/>
      <c r="L12" s="11"/>
      <c r="M12" s="11"/>
      <c r="N12" s="11"/>
      <c r="O12" s="11" t="str">
        <f>IFERROR(__xludf.DUMMYFUNCTION("""COMPUTED_VALUE"""),"ครุภัณฑ์สำรวจ")</f>
        <v>ครุภัณฑ์สำรวจ</v>
      </c>
      <c r="P12" s="11">
        <f>IFERROR(__xludf.DUMMYFUNCTION("""COMPUTED_VALUE"""),10.0)</f>
        <v>10</v>
      </c>
      <c r="Q12" s="11"/>
      <c r="R12" s="11"/>
      <c r="S12" s="11"/>
      <c r="T12" s="11"/>
      <c r="U12" s="11"/>
      <c r="V12" s="11"/>
      <c r="W12" s="11"/>
      <c r="X12" s="11"/>
      <c r="Y12" s="11" t="str">
        <f>IFERROR(__xludf.DUMMYFUNCTION("""COMPUTED_VALUE"""),"ม้วน")</f>
        <v>ม้วน</v>
      </c>
      <c r="Z12" s="11" t="str">
        <f>IFERROR(__xludf.DUMMYFUNCTION("""COMPUTED_VALUE"""),"10 - อุตสาหกรรมการแพทย์ครบวงจร  (New S-curve) ")</f>
        <v>10 - อุตสาหกรรมการแพทย์ครบวงจร  (New S-curve) </v>
      </c>
      <c r="AA12" s="11" t="str">
        <f>IFERROR(__xludf.DUMMYFUNCTION("""COMPUTED_VALUE"""),"10. คุณธรรม/จริยธรรม")</f>
        <v>10. คุณธรรม/จริยธรรม</v>
      </c>
      <c r="AB12" s="11"/>
      <c r="AC12" s="11"/>
      <c r="AD12" s="11"/>
      <c r="AE12" s="11"/>
    </row>
    <row r="13">
      <c r="A13" s="31" t="str">
        <f>IFERROR(__xludf.DUMMYFUNCTION("""COMPUTED_VALUE"""),"08000 : คณะมนุษยศาสตร์และสังคมศาสตร์")</f>
        <v>08000 : คณะมนุษยศาสตร์และสังคมศาสตร์</v>
      </c>
      <c r="B13" s="31" t="str">
        <f>IFERROR(__xludf.DUMMYFUNCTION("""COMPUTED_VALUE"""),"คณะมนุษยศาสตร์และสังคมศาสตร์")</f>
        <v>คณะมนุษยศาสตร์และสังคมศาสตร์</v>
      </c>
      <c r="E13" s="31"/>
      <c r="G13" s="11" t="str">
        <f>IFERROR(__xludf.DUMMYFUNCTION("""COMPUTED_VALUE"""),"5001 : แผนงานสนับสนุนค่าใช้จ่ายในการจัดการศึกษาตั้งแต่ระดับอนุบาลจนจบการศึกษาขั้นพื้นฐาน")</f>
        <v>5001 : แผนงานสนับสนุนค่าใช้จ่ายในการจัดการศึกษาตั้งแต่ระดับอนุบาลจนจบการศึกษาขั้นพื้นฐาน</v>
      </c>
      <c r="H13" s="11" t="str">
        <f>IFERROR(__xludf.DUMMYFUNCTION("""COMPUTED_VALUE"""),"005001 : การสนับสนุนค่าใช้จ่ายในการจัดการศึกษาขั้นพื้นฐาน")</f>
        <v>005001 : การสนับสนุนค่าใช้จ่ายในการจัดการศึกษาขั้นพื้นฐาน</v>
      </c>
      <c r="I13" s="11" t="str">
        <f>IFERROR(__xludf.DUMMYFUNCTION("""COMPUTED_VALUE"""),"213512 : ค่าอุปกรณ์การเรียน")</f>
        <v>213512 : ค่าอุปกรณ์การเรียน</v>
      </c>
      <c r="J13" s="11"/>
      <c r="K13" s="11"/>
      <c r="L13" s="11"/>
      <c r="M13" s="11"/>
      <c r="N13" s="11"/>
      <c r="O13" s="11" t="str">
        <f>IFERROR(__xludf.DUMMYFUNCTION("""COMPUTED_VALUE"""),"ครุภัณฑ์วิทยาศาสตร์")</f>
        <v>ครุภัณฑ์วิทยาศาสตร์</v>
      </c>
      <c r="P13" s="11">
        <f>IFERROR(__xludf.DUMMYFUNCTION("""COMPUTED_VALUE"""),5.0)</f>
        <v>5</v>
      </c>
      <c r="Q13" s="11"/>
      <c r="R13" s="11"/>
      <c r="S13" s="11"/>
      <c r="T13" s="11"/>
      <c r="U13" s="11"/>
      <c r="V13" s="11"/>
      <c r="W13" s="11"/>
      <c r="X13" s="11"/>
      <c r="Y13" s="11" t="str">
        <f>IFERROR(__xludf.DUMMYFUNCTION("""COMPUTED_VALUE"""),"คัน")</f>
        <v>คัน</v>
      </c>
      <c r="Z13" s="11" t="str">
        <f>IFERROR(__xludf.DUMMYFUNCTION("""COMPUTED_VALUE"""),"11 - อุตสาหกรรมป้องกันประเทศ  (New S-curve) ")</f>
        <v>11 - อุตสาหกรรมป้องกันประเทศ  (New S-curve) </v>
      </c>
      <c r="AA13" s="11"/>
      <c r="AB13" s="11"/>
      <c r="AC13" s="11"/>
      <c r="AD13" s="11"/>
      <c r="AE13" s="11"/>
    </row>
    <row r="14">
      <c r="A14" s="31" t="str">
        <f>IFERROR(__xludf.DUMMYFUNCTION("""COMPUTED_VALUE"""),"02000 : คณะวิทยาศาสตร์")</f>
        <v>02000 : คณะวิทยาศาสตร์</v>
      </c>
      <c r="B14" s="31" t="str">
        <f>IFERROR(__xludf.DUMMYFUNCTION("""COMPUTED_VALUE"""),"คณะวิทยาศาสตร์")</f>
        <v>คณะวิทยาศาสตร์</v>
      </c>
      <c r="E14" s="31"/>
      <c r="G14" s="11" t="str">
        <f>IFERROR(__xludf.DUMMYFUNCTION("""COMPUTED_VALUE"""),"5001 : แผนงานสนับสนุนค่าใช้จ่ายในการจัดการศึกษาตั้งแต่ระดับอนุบาลจนจบการศึกษาขั้นพื้นฐาน")</f>
        <v>5001 : แผนงานสนับสนุนค่าใช้จ่ายในการจัดการศึกษาตั้งแต่ระดับอนุบาลจนจบการศึกษาขั้นพื้นฐาน</v>
      </c>
      <c r="H14" s="11" t="str">
        <f>IFERROR(__xludf.DUMMYFUNCTION("""COMPUTED_VALUE"""),"005001 : การสนับสนุนค่าใช้จ่ายในการจัดการศึกษาขั้นพื้นฐาน")</f>
        <v>005001 : การสนับสนุนค่าใช้จ่ายในการจัดการศึกษาขั้นพื้นฐาน</v>
      </c>
      <c r="I14" s="11" t="str">
        <f>IFERROR(__xludf.DUMMYFUNCTION("""COMPUTED_VALUE"""),"213513 : ค่าเครื่องแบบนักเรียน")</f>
        <v>213513 : ค่าเครื่องแบบนักเรียน</v>
      </c>
      <c r="J14" s="11"/>
      <c r="K14" s="11"/>
      <c r="L14" s="11"/>
      <c r="M14" s="11"/>
      <c r="N14" s="11"/>
      <c r="O14" s="11" t="str">
        <f>IFERROR(__xludf.DUMMYFUNCTION("""COMPUTED_VALUE"""),"ครุภัณฑ์การแพทย์")</f>
        <v>ครุภัณฑ์การแพทย์</v>
      </c>
      <c r="P14" s="11">
        <f>IFERROR(__xludf.DUMMYFUNCTION("""COMPUTED_VALUE"""),5.0)</f>
        <v>5</v>
      </c>
      <c r="Q14" s="11"/>
      <c r="R14" s="11"/>
      <c r="S14" s="11"/>
      <c r="T14" s="11"/>
      <c r="U14" s="11"/>
      <c r="V14" s="11"/>
      <c r="W14" s="11"/>
      <c r="X14" s="11"/>
      <c r="Y14" s="11" t="str">
        <f>IFERROR(__xludf.DUMMYFUNCTION("""COMPUTED_VALUE"""),"เส้น")</f>
        <v>เส้น</v>
      </c>
      <c r="Z14" s="11" t="str">
        <f>IFERROR(__xludf.DUMMYFUNCTION("""COMPUTED_VALUE""")," 12 -  อุตสาหกรรมพัฒนาคนและการศึกษา  (New S-curve) ")</f>
        <v> 12 -  อุตสาหกรรมพัฒนาคนและการศึกษา  (New S-curve) </v>
      </c>
      <c r="AA14" s="11"/>
      <c r="AB14" s="11"/>
      <c r="AC14" s="11"/>
      <c r="AD14" s="11"/>
      <c r="AE14" s="11"/>
    </row>
    <row r="15">
      <c r="A15" s="31" t="str">
        <f>IFERROR(__xludf.DUMMYFUNCTION("""COMPUTED_VALUE"""),"04000 : คณะวิศวกรรมศาสตร์")</f>
        <v>04000 : คณะวิศวกรรมศาสตร์</v>
      </c>
      <c r="B15" s="31" t="str">
        <f>IFERROR(__xludf.DUMMYFUNCTION("""COMPUTED_VALUE"""),"คณะวิศวกรรมศาสตร์")</f>
        <v>คณะวิศวกรรมศาสตร์</v>
      </c>
      <c r="E15" s="31"/>
      <c r="G15" s="11" t="str">
        <f>IFERROR(__xludf.DUMMYFUNCTION("""COMPUTED_VALUE"""),"5001 : แผนงานสนับสนุนค่าใช้จ่ายในการจัดการศึกษาตั้งแต่ระดับอนุบาลจนจบการศึกษาขั้นพื้นฐาน")</f>
        <v>5001 : แผนงานสนับสนุนค่าใช้จ่ายในการจัดการศึกษาตั้งแต่ระดับอนุบาลจนจบการศึกษาขั้นพื้นฐาน</v>
      </c>
      <c r="H15" s="11" t="str">
        <f>IFERROR(__xludf.DUMMYFUNCTION("""COMPUTED_VALUE"""),"005001 : การสนับสนุนค่าใช้จ่ายในการจัดการศึกษาขั้นพื้นฐาน")</f>
        <v>005001 : การสนับสนุนค่าใช้จ่ายในการจัดการศึกษาขั้นพื้นฐาน</v>
      </c>
      <c r="I15" s="11" t="str">
        <f>IFERROR(__xludf.DUMMYFUNCTION("""COMPUTED_VALUE"""),"213514 : ค่ากิจกรรมพัฒนาคุณภาพผู้เรียน")</f>
        <v>213514 : ค่ากิจกรรมพัฒนาคุณภาพผู้เรียน</v>
      </c>
      <c r="J15" s="11"/>
      <c r="K15" s="11"/>
      <c r="L15" s="11"/>
      <c r="M15" s="11"/>
      <c r="N15" s="11"/>
      <c r="O15" s="11" t="str">
        <f>IFERROR(__xludf.DUMMYFUNCTION("""COMPUTED_VALUE"""),"ครุภัณฑ์คอมพิวเตอร์")</f>
        <v>ครุภัณฑ์คอมพิวเตอร์</v>
      </c>
      <c r="P15" s="11">
        <f>IFERROR(__xludf.DUMMYFUNCTION("""COMPUTED_VALUE"""),3.0)</f>
        <v>3</v>
      </c>
      <c r="Q15" s="11"/>
      <c r="R15" s="11"/>
      <c r="S15" s="11"/>
      <c r="T15" s="11"/>
      <c r="U15" s="11"/>
      <c r="V15" s="11"/>
      <c r="W15" s="11"/>
      <c r="X15" s="11"/>
      <c r="Y15" s="11" t="str">
        <f>IFERROR(__xludf.DUMMYFUNCTION("""COMPUTED_VALUE"""),"อัน")</f>
        <v>อัน</v>
      </c>
      <c r="Z15" s="11" t="str">
        <f>IFERROR(__xludf.DUMMYFUNCTION("""COMPUTED_VALUE""")," 00 -ไม่สอดคล้องกับ S-Curve &amp; New S-Curve")</f>
        <v> 00 -ไม่สอดคล้องกับ S-Curve &amp; New S-Curve</v>
      </c>
      <c r="AA15" s="11"/>
      <c r="AB15" s="11"/>
      <c r="AC15" s="11"/>
      <c r="AD15" s="11"/>
      <c r="AE15" s="11"/>
    </row>
    <row r="16">
      <c r="A16" s="31" t="str">
        <f>IFERROR(__xludf.DUMMYFUNCTION("""COMPUTED_VALUE"""),"24000 : คณะศิลปกรรมศาสตร์")</f>
        <v>24000 : คณะศิลปกรรมศาสตร์</v>
      </c>
      <c r="B16" s="31" t="str">
        <f>IFERROR(__xludf.DUMMYFUNCTION("""COMPUTED_VALUE"""),"คณะศิลปกรรมศาสตร์")</f>
        <v>คณะศิลปกรรมศาสตร์</v>
      </c>
      <c r="E16" s="31"/>
      <c r="G16" s="11" t="str">
        <f>IFERROR(__xludf.DUMMYFUNCTION("""COMPUTED_VALUE"""),"4001 : แผนงานการให้บริการวิชาการ")</f>
        <v>4001 : แผนงานการให้บริการวิชาการ</v>
      </c>
      <c r="H16" s="11" t="str">
        <f>IFERROR(__xludf.DUMMYFUNCTION("""COMPUTED_VALUE"""),"004003 : การให้บริการวิชาการ")</f>
        <v>004003 : การให้บริการวิชาการ</v>
      </c>
      <c r="I16" s="11" t="str">
        <f>IFERROR(__xludf.DUMMYFUNCTION("""COMPUTED_VALUE"""),"126488 : เงินอุดหนุนเป็นค่าใช้จ่ายโครงการทันตกรรมพระราชทาน")</f>
        <v>126488 : เงินอุดหนุนเป็นค่าใช้จ่ายโครงการทันตกรรมพระราชทาน</v>
      </c>
      <c r="J16" s="11"/>
      <c r="K16" s="11"/>
      <c r="L16" s="11"/>
      <c r="M16" s="11"/>
      <c r="N16" s="11"/>
      <c r="O16" s="11" t="str">
        <f>IFERROR(__xludf.DUMMYFUNCTION("""COMPUTED_VALUE"""),"ครุภัณฑ์การศึกษา")</f>
        <v>ครุภัณฑ์การศึกษา</v>
      </c>
      <c r="P16" s="11">
        <f>IFERROR(__xludf.DUMMYFUNCTION("""COMPUTED_VALUE"""),3.0)</f>
        <v>3</v>
      </c>
      <c r="Q16" s="11"/>
      <c r="R16" s="11"/>
      <c r="S16" s="11"/>
      <c r="T16" s="11"/>
      <c r="U16" s="11"/>
      <c r="V16" s="11"/>
      <c r="W16" s="11"/>
      <c r="X16" s="11"/>
      <c r="Y16" s="11" t="str">
        <f>IFERROR(__xludf.DUMMYFUNCTION("""COMPUTED_VALUE"""),"ระบบ")</f>
        <v>ระบบ</v>
      </c>
      <c r="Z16" s="11"/>
      <c r="AA16" s="11"/>
      <c r="AB16" s="11"/>
      <c r="AC16" s="11"/>
      <c r="AD16" s="11"/>
      <c r="AE16" s="11"/>
    </row>
    <row r="17">
      <c r="A17" s="31" t="str">
        <f>IFERROR(__xludf.DUMMYFUNCTION("""COMPUTED_VALUE"""),"05000 : คณะศึกษาศาสตร์")</f>
        <v>05000 : คณะศึกษาศาสตร์</v>
      </c>
      <c r="B17" s="31" t="str">
        <f>IFERROR(__xludf.DUMMYFUNCTION("""COMPUTED_VALUE"""),"คณะศึกษาศาสตร์")</f>
        <v>คณะศึกษาศาสตร์</v>
      </c>
      <c r="E17" s="31"/>
      <c r="G17" s="11" t="str">
        <f>IFERROR(__xludf.DUMMYFUNCTION("""COMPUTED_VALUE"""),"4001 : แผนงานการให้บริการวิชาการ")</f>
        <v>4001 : แผนงานการให้บริการวิชาการ</v>
      </c>
      <c r="H17" s="11" t="str">
        <f>IFERROR(__xludf.DUMMYFUNCTION("""COMPUTED_VALUE"""),"004003 : การให้บริการวิชาการ")</f>
        <v>004003 : การให้บริการวิชาการ</v>
      </c>
      <c r="I17" s="11" t="str">
        <f>IFERROR(__xludf.DUMMYFUNCTION("""COMPUTED_VALUE"""),"130918 : เงินอุดหนุนเป็นค่าใช้จ่ายโครงการอนุรักษ์พันธุกรรมพืช")</f>
        <v>130918 : เงินอุดหนุนเป็นค่าใช้จ่ายโครงการอนุรักษ์พันธุกรรมพืช</v>
      </c>
      <c r="J17" s="11"/>
      <c r="K17" s="11"/>
      <c r="L17" s="11"/>
      <c r="M17" s="11"/>
      <c r="N17" s="11"/>
      <c r="O17" s="11" t="str">
        <f>IFERROR(__xludf.DUMMYFUNCTION("""COMPUTED_VALUE"""),"ครุภัณฑ์งานบ้านงานครัว")</f>
        <v>ครุภัณฑ์งานบ้านงานครัว</v>
      </c>
      <c r="P17" s="11">
        <f>IFERROR(__xludf.DUMMYFUNCTION("""COMPUTED_VALUE"""),3.0)</f>
        <v>3</v>
      </c>
      <c r="Q17" s="11"/>
      <c r="R17" s="11"/>
      <c r="S17" s="11"/>
      <c r="T17" s="11"/>
      <c r="U17" s="11"/>
      <c r="V17" s="11"/>
      <c r="W17" s="11"/>
      <c r="X17" s="11"/>
      <c r="Y17" s="11" t="str">
        <f>IFERROR(__xludf.DUMMYFUNCTION("""COMPUTED_VALUE"""),"กล้อง")</f>
        <v>กล้อง</v>
      </c>
      <c r="Z17" s="11"/>
      <c r="AA17" s="11"/>
      <c r="AB17" s="11"/>
      <c r="AC17" s="11"/>
      <c r="AD17" s="11"/>
      <c r="AE17" s="11"/>
    </row>
    <row r="18">
      <c r="A18" s="31" t="str">
        <f>IFERROR(__xludf.DUMMYFUNCTION("""COMPUTED_VALUE"""),"05030 : โรงเรียนสาธิตมหาวิทยาลัยขอนแก่น")</f>
        <v>05030 : โรงเรียนสาธิตมหาวิทยาลัยขอนแก่น</v>
      </c>
      <c r="B18" s="31" t="str">
        <f>IFERROR(__xludf.DUMMYFUNCTION("""COMPUTED_VALUE"""),"โรงเรียนสาธิตมหาวิทยาลัยขอนแก่น")</f>
        <v>โรงเรียนสาธิตมหาวิทยาลัยขอนแก่น</v>
      </c>
      <c r="E18" s="31"/>
      <c r="G18" s="11" t="str">
        <f>IFERROR(__xludf.DUMMYFUNCTION("""COMPUTED_VALUE"""),"4001 : แผนงานการให้บริการวิชาการ")</f>
        <v>4001 : แผนงานการให้บริการวิชาการ</v>
      </c>
      <c r="H18" s="11" t="str">
        <f>IFERROR(__xludf.DUMMYFUNCTION("""COMPUTED_VALUE"""),"004003 : การให้บริการวิชาการ")</f>
        <v>004003 : การให้บริการวิชาการ</v>
      </c>
      <c r="I18" s="11" t="str">
        <f>IFERROR(__xludf.DUMMYFUNCTION("""COMPUTED_VALUE"""),"130919 : เงินอุดหนุนค่าใช้จ่ายสำหรับการชันสูตรพลิกศพ")</f>
        <v>130919 : เงินอุดหนุนค่าใช้จ่ายสำหรับการชันสูตรพลิกศพ</v>
      </c>
      <c r="J18" s="11"/>
      <c r="K18" s="11"/>
      <c r="L18" s="11"/>
      <c r="M18" s="11"/>
      <c r="N18" s="11"/>
      <c r="O18" s="11" t="str">
        <f>IFERROR(__xludf.DUMMYFUNCTION("""COMPUTED_VALUE"""),"ครุภัณฑ์กีฬา/กายภาพ")</f>
        <v>ครุภัณฑ์กีฬา/กายภาพ</v>
      </c>
      <c r="P18" s="11">
        <f>IFERROR(__xludf.DUMMYFUNCTION("""COMPUTED_VALUE"""),3.0)</f>
        <v>3</v>
      </c>
      <c r="Q18" s="11"/>
      <c r="R18" s="11"/>
      <c r="S18" s="11"/>
      <c r="T18" s="11"/>
      <c r="U18" s="11"/>
      <c r="V18" s="11"/>
      <c r="W18" s="11"/>
      <c r="X18" s="11"/>
      <c r="Y18" s="11" t="str">
        <f>IFERROR(__xludf.DUMMYFUNCTION("""COMPUTED_VALUE"""),"ตัว")</f>
        <v>ตัว</v>
      </c>
      <c r="Z18" s="11"/>
      <c r="AA18" s="11"/>
      <c r="AB18" s="11"/>
      <c r="AC18" s="11"/>
      <c r="AD18" s="11"/>
      <c r="AE18" s="11"/>
    </row>
    <row r="19">
      <c r="A19" s="31" t="str">
        <f>IFERROR(__xludf.DUMMYFUNCTION("""COMPUTED_VALUE"""),"27000 : คณะเศรษฐศาสตร์")</f>
        <v>27000 : คณะเศรษฐศาสตร์</v>
      </c>
      <c r="B19" s="31" t="str">
        <f>IFERROR(__xludf.DUMMYFUNCTION("""COMPUTED_VALUE"""),"คณะเศรษฐศาสตร์")</f>
        <v>คณะเศรษฐศาสตร์</v>
      </c>
      <c r="E19" s="31"/>
      <c r="G19" s="11"/>
      <c r="H19" s="11"/>
      <c r="I19" s="11"/>
      <c r="J19" s="11"/>
      <c r="K19" s="11"/>
      <c r="L19" s="11"/>
      <c r="M19" s="11"/>
      <c r="N19" s="11"/>
      <c r="O19" s="11" t="str">
        <f>IFERROR(__xludf.DUMMYFUNCTION("""COMPUTED_VALUE"""),"ครุภัณฑ์ดนตรี/นาฏศิลป์")</f>
        <v>ครุภัณฑ์ดนตรี/นาฏศิลป์</v>
      </c>
      <c r="P19" s="11">
        <f>IFERROR(__xludf.DUMMYFUNCTION("""COMPUTED_VALUE"""),3.0)</f>
        <v>3</v>
      </c>
      <c r="Q19" s="11"/>
      <c r="R19" s="11"/>
      <c r="S19" s="11"/>
      <c r="T19" s="11"/>
      <c r="U19" s="11"/>
      <c r="V19" s="11"/>
      <c r="W19" s="11"/>
      <c r="X19" s="11"/>
      <c r="Y19" s="11"/>
      <c r="Z19" s="11"/>
      <c r="AA19" s="11"/>
      <c r="AB19" s="11"/>
      <c r="AC19" s="11"/>
      <c r="AD19" s="11"/>
      <c r="AE19" s="11"/>
    </row>
    <row r="20">
      <c r="A20" s="31" t="str">
        <f>IFERROR(__xludf.DUMMYFUNCTION("""COMPUTED_VALUE"""),"19000 : คณะสถาปัตยกรรมศาสตร์")</f>
        <v>19000 : คณะสถาปัตยกรรมศาสตร์</v>
      </c>
      <c r="B20" s="31" t="str">
        <f>IFERROR(__xludf.DUMMYFUNCTION("""COMPUTED_VALUE"""),"คณะสถาปัตยกรรมศาสตร์")</f>
        <v>คณะสถาปัตยกรรมศาสตร์</v>
      </c>
      <c r="E20" s="31"/>
      <c r="G20" s="11"/>
      <c r="H20" s="11"/>
      <c r="I20" s="11"/>
      <c r="J20" s="11"/>
      <c r="K20" s="11"/>
      <c r="L20" s="11"/>
      <c r="M20" s="11"/>
      <c r="N20" s="11"/>
      <c r="O20" s="11" t="str">
        <f>IFERROR(__xludf.DUMMYFUNCTION("""COMPUTED_VALUE"""),"ครุภัณฑ์อาวุธ")</f>
        <v>ครุภัณฑ์อาวุธ</v>
      </c>
      <c r="P20" s="11">
        <f>IFERROR(__xludf.DUMMYFUNCTION("""COMPUTED_VALUE"""),8.0)</f>
        <v>8</v>
      </c>
      <c r="Q20" s="11"/>
      <c r="R20" s="11"/>
      <c r="S20" s="11"/>
      <c r="T20" s="11"/>
      <c r="U20" s="11"/>
      <c r="V20" s="11"/>
      <c r="W20" s="11"/>
      <c r="X20" s="11"/>
      <c r="Y20" s="11"/>
      <c r="Z20" s="11"/>
      <c r="AA20" s="11"/>
      <c r="AB20" s="11"/>
      <c r="AC20" s="11"/>
      <c r="AD20" s="11"/>
      <c r="AE20" s="11"/>
    </row>
    <row r="21">
      <c r="A21" s="31" t="str">
        <f>IFERROR(__xludf.DUMMYFUNCTION("""COMPUTED_VALUE"""),"28000 : คณะสหวิทยาการ")</f>
        <v>28000 : คณะสหวิทยาการ</v>
      </c>
      <c r="B21" s="31" t="str">
        <f>IFERROR(__xludf.DUMMYFUNCTION("""COMPUTED_VALUE"""),"คณะสหวิทยาการ")</f>
        <v>คณะสหวิทยาการ</v>
      </c>
      <c r="E21" s="31"/>
      <c r="G21" s="11"/>
      <c r="H21" s="11"/>
      <c r="I21" s="11"/>
      <c r="J21" s="11"/>
      <c r="K21" s="11"/>
      <c r="L21" s="11"/>
      <c r="M21" s="11"/>
      <c r="N21" s="11"/>
      <c r="O21" s="11" t="str">
        <f>IFERROR(__xludf.DUMMYFUNCTION("""COMPUTED_VALUE"""),"ครุภัณฑ์สนาม")</f>
        <v>ครุภัณฑ์สนาม</v>
      </c>
      <c r="P21" s="11">
        <f>IFERROR(__xludf.DUMMYFUNCTION("""COMPUTED_VALUE"""),3.0)</f>
        <v>3</v>
      </c>
      <c r="Q21" s="11"/>
      <c r="R21" s="11"/>
      <c r="S21" s="11"/>
      <c r="T21" s="11"/>
      <c r="U21" s="11"/>
      <c r="V21" s="11"/>
      <c r="W21" s="11"/>
      <c r="X21" s="11"/>
      <c r="Y21" s="11"/>
      <c r="Z21" s="11"/>
      <c r="AA21" s="11"/>
      <c r="AB21" s="11"/>
      <c r="AC21" s="11"/>
      <c r="AD21" s="11"/>
      <c r="AE21" s="11"/>
    </row>
    <row r="22">
      <c r="A22" s="31" t="str">
        <f>IFERROR(__xludf.DUMMYFUNCTION("""COMPUTED_VALUE"""),"18000 : คณะสัตวแพทยศาสตร์")</f>
        <v>18000 : คณะสัตวแพทยศาสตร์</v>
      </c>
      <c r="B22" s="31" t="str">
        <f>IFERROR(__xludf.DUMMYFUNCTION("""COMPUTED_VALUE"""),"คณะสัตวแพทยศาสตร์")</f>
        <v>คณะสัตวแพทยศาสตร์</v>
      </c>
      <c r="E22" s="31"/>
      <c r="G22" s="11"/>
      <c r="H22" s="11"/>
      <c r="I22" s="11"/>
      <c r="J22" s="11"/>
      <c r="K22" s="11"/>
      <c r="L22" s="11"/>
      <c r="M22" s="11"/>
      <c r="N22" s="11"/>
      <c r="O22" s="11" t="str">
        <f>IFERROR(__xludf.DUMMYFUNCTION("""COMPUTED_VALUE"""),"ครุภัณฑ์อื่น")</f>
        <v>ครุภัณฑ์อื่น</v>
      </c>
      <c r="P22" s="11">
        <f>IFERROR(__xludf.DUMMYFUNCTION("""COMPUTED_VALUE"""),3.0)</f>
        <v>3</v>
      </c>
      <c r="Q22" s="11"/>
      <c r="R22" s="11"/>
      <c r="S22" s="11"/>
      <c r="T22" s="11"/>
      <c r="U22" s="11"/>
      <c r="V22" s="11"/>
      <c r="W22" s="11"/>
      <c r="X22" s="11"/>
      <c r="Y22" s="11"/>
      <c r="Z22" s="11"/>
      <c r="AA22" s="11"/>
      <c r="AB22" s="11"/>
      <c r="AC22" s="11"/>
      <c r="AD22" s="11"/>
      <c r="AE22" s="11"/>
    </row>
    <row r="23">
      <c r="A23" s="31" t="str">
        <f>IFERROR(__xludf.DUMMYFUNCTION("""COMPUTED_VALUE"""),"11000 : คณะสาธารณสุขศาสตร์")</f>
        <v>11000 : คณะสาธารณสุขศาสตร์</v>
      </c>
      <c r="B23" s="31" t="str">
        <f>IFERROR(__xludf.DUMMYFUNCTION("""COMPUTED_VALUE"""),"คณะสาธารณสุขศาสตร์")</f>
        <v>คณะสาธารณสุขศาสตร์</v>
      </c>
      <c r="E23" s="3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row>
    <row r="24">
      <c r="A24" s="31" t="str">
        <f>IFERROR(__xludf.DUMMYFUNCTION("""COMPUTED_VALUE"""),"10000 : บัณฑิตวิทยาลัย")</f>
        <v>10000 : บัณฑิตวิทยาลัย</v>
      </c>
      <c r="B24" s="31" t="str">
        <f>IFERROR(__xludf.DUMMYFUNCTION("""COMPUTED_VALUE"""),"บัณฑิตวิทยาลัย")</f>
        <v>บัณฑิตวิทยาลัย</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row>
    <row r="25">
      <c r="A25" s="31" t="str">
        <f>IFERROR(__xludf.DUMMYFUNCTION("""COMPUTED_VALUE"""),"01194 : ศูนย์พิพิธภัณฑ์และแหล่งเรียนรู้ตลอดชีวิต")</f>
        <v>01194 : ศูนย์พิพิธภัณฑ์และแหล่งเรียนรู้ตลอดชีวิต</v>
      </c>
      <c r="B25" s="31" t="str">
        <f>IFERROR(__xludf.DUMMYFUNCTION("""COMPUTED_VALUE"""),"ศูนย์พิพิธภัณฑ์และแหล่งเรียนรู้ตลอดชีวิต")</f>
        <v>ศูนย์พิพิธภัณฑ์และแหล่งเรียนรู้ตลอดชีวิต</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row>
    <row r="26">
      <c r="A26" s="31" t="str">
        <f>IFERROR(__xludf.DUMMYFUNCTION("""COMPUTED_VALUE"""),"29000 : วิทยาลัยการคอมพิวเตอร์")</f>
        <v>29000 : วิทยาลัยการคอมพิวเตอร์</v>
      </c>
      <c r="B26" s="31" t="str">
        <f>IFERROR(__xludf.DUMMYFUNCTION("""COMPUTED_VALUE"""),"วิทยาลัยการคอมพิวเตอร์")</f>
        <v>วิทยาลัยการคอมพิวเตอร์</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row>
    <row r="27">
      <c r="A27" s="31" t="str">
        <f>IFERROR(__xludf.DUMMYFUNCTION("""COMPUTED_VALUE"""),"25000 : วิทยาลัยการปกครองท้องถิ่น")</f>
        <v>25000 : วิทยาลัยการปกครองท้องถิ่น</v>
      </c>
      <c r="B27" s="31" t="str">
        <f>IFERROR(__xludf.DUMMYFUNCTION("""COMPUTED_VALUE"""),"วิทยาลัยการปกครองท้องถิ่น")</f>
        <v>วิทยาลัยการปกครองท้องถิ่น</v>
      </c>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row>
    <row r="28">
      <c r="A28" s="31" t="str">
        <f>IFERROR(__xludf.DUMMYFUNCTION("""COMPUTED_VALUE"""),"26000 : วิทยาลัยนานาชาติ")</f>
        <v>26000 : วิทยาลัยนานาชาติ</v>
      </c>
      <c r="B28" s="31" t="str">
        <f>IFERROR(__xludf.DUMMYFUNCTION("""COMPUTED_VALUE"""),"วิทยาลัยนานาชาติ")</f>
        <v>วิทยาลัยนานาชาติ</v>
      </c>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row>
    <row r="29">
      <c r="A29" s="31" t="str">
        <f>IFERROR(__xludf.DUMMYFUNCTION("""COMPUTED_VALUE"""),"14000 : วิทยาลัยบัณฑิตศึกษาการจัดการ")</f>
        <v>14000 : วิทยาลัยบัณฑิตศึกษาการจัดการ</v>
      </c>
      <c r="B29" s="31" t="str">
        <f>IFERROR(__xludf.DUMMYFUNCTION("""COMPUTED_VALUE"""),"วิทยาลัยบัณฑิตศึกษาการจัดการ")</f>
        <v>วิทยาลัยบัณฑิตศึกษาการจัดการ</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row>
    <row r="30">
      <c r="A30" s="31" t="str">
        <f>IFERROR(__xludf.DUMMYFUNCTION("""COMPUTED_VALUE"""),"21000 : สำนักงานสภามหาวิทยาลัย")</f>
        <v>21000 : สำนักงานสภามหาวิทยาลัย</v>
      </c>
      <c r="B30" s="31" t="str">
        <f>IFERROR(__xludf.DUMMYFUNCTION("""COMPUTED_VALUE"""),"สำนักงานสภามหาวิทยาลัย")</f>
        <v>สำนักงานสภามหาวิทยาลัย</v>
      </c>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row>
    <row r="31">
      <c r="A31" s="31" t="str">
        <f>IFERROR(__xludf.DUMMYFUNCTION("""COMPUTED_VALUE"""),"01000 : สำนักงานอธิการบดี")</f>
        <v>01000 : สำนักงานอธิการบดี</v>
      </c>
      <c r="B31" s="31" t="str">
        <f>IFERROR(__xludf.DUMMYFUNCTION("""COMPUTED_VALUE"""),"สำนักงานอธิการบดี")</f>
        <v>สำนักงานอธิการบดี</v>
      </c>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row>
    <row r="32">
      <c r="A32" s="31" t="str">
        <f>IFERROR(__xludf.DUMMYFUNCTION("""COMPUTED_VALUE"""),"01004 : กองกฎหมาย")</f>
        <v>01004 : กองกฎหมาย</v>
      </c>
      <c r="B32" s="31" t="str">
        <f>IFERROR(__xludf.DUMMYFUNCTION("""COMPUTED_VALUE"""),"กองกฎหมาย")</f>
        <v>กองกฎหมาย</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row>
    <row r="33">
      <c r="A33" s="31" t="str">
        <f>IFERROR(__xludf.DUMMYFUNCTION("""COMPUTED_VALUE"""),"01007 : กองการกีฬา")</f>
        <v>01007 : กองการกีฬา</v>
      </c>
      <c r="B33" s="31" t="str">
        <f>IFERROR(__xludf.DUMMYFUNCTION("""COMPUTED_VALUE"""),"กองการกีฬา")</f>
        <v>กองการกีฬา</v>
      </c>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row>
    <row r="34">
      <c r="A34" s="31" t="str">
        <f>IFERROR(__xludf.DUMMYFUNCTION("""COMPUTED_VALUE"""),"01016 : กองการต่างประเทศ")</f>
        <v>01016 : กองการต่างประเทศ</v>
      </c>
      <c r="B34" s="31" t="str">
        <f>IFERROR(__xludf.DUMMYFUNCTION("""COMPUTED_VALUE"""),"กองการต่างประเทศ")</f>
        <v>กองการต่างประเทศ</v>
      </c>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row>
    <row r="35">
      <c r="A35" s="31" t="str">
        <f>IFERROR(__xludf.DUMMYFUNCTION("""COMPUTED_VALUE"""),"01018 : กองคลัง")</f>
        <v>01018 : กองคลัง</v>
      </c>
      <c r="B35" s="31" t="str">
        <f>IFERROR(__xludf.DUMMYFUNCTION("""COMPUTED_VALUE"""),"กองคลัง")</f>
        <v>กองคลัง</v>
      </c>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row>
    <row r="36">
      <c r="A36" s="31" t="str">
        <f>IFERROR(__xludf.DUMMYFUNCTION("""COMPUTED_VALUE"""),"01023 : กองสาธารณูปโภคและสิ่งแวดล้อม")</f>
        <v>01023 : กองสาธารณูปโภคและสิ่งแวดล้อม</v>
      </c>
      <c r="B36" s="31" t="str">
        <f>IFERROR(__xludf.DUMMYFUNCTION("""COMPUTED_VALUE"""),"กองสาธารณูปโภคและสิ่งแวดล้อม")</f>
        <v>กองสาธารณูปโภคและสิ่งแวดล้อม</v>
      </c>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row>
    <row r="37">
      <c r="A37" s="31" t="str">
        <f>IFERROR(__xludf.DUMMYFUNCTION("""COMPUTED_VALUE"""),"01002 : กองตรวจสอบภายใน")</f>
        <v>01002 : กองตรวจสอบภายใน</v>
      </c>
      <c r="B37" s="31" t="str">
        <f>IFERROR(__xludf.DUMMYFUNCTION("""COMPUTED_VALUE"""),"กองตรวจสอบภายใน")</f>
        <v>กองตรวจสอบภายใน</v>
      </c>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row>
    <row r="38">
      <c r="A38" s="31" t="str">
        <f>IFERROR(__xludf.DUMMYFUNCTION("""COMPUTED_VALUE"""),"01044 : กองทรัพยากรบุคคล")</f>
        <v>01044 : กองทรัพยากรบุคคล</v>
      </c>
      <c r="B38" s="31" t="str">
        <f>IFERROR(__xludf.DUMMYFUNCTION("""COMPUTED_VALUE"""),"กองทรัพยากรบุคคล")</f>
        <v>กองทรัพยากรบุคคล</v>
      </c>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row>
    <row r="39">
      <c r="A39" s="31" t="str">
        <f>IFERROR(__xludf.DUMMYFUNCTION("""COMPUTED_VALUE"""),"01049 : กองบริการหอพักนักศึกษา")</f>
        <v>01049 : กองบริการหอพักนักศึกษา</v>
      </c>
      <c r="B39" s="31" t="str">
        <f>IFERROR(__xludf.DUMMYFUNCTION("""COMPUTED_VALUE"""),"กองบริการหอพักนักศึกษา")</f>
        <v>กองบริการหอพักนักศึกษา</v>
      </c>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row>
    <row r="40">
      <c r="A40" s="31" t="str">
        <f>IFERROR(__xludf.DUMMYFUNCTION("""COMPUTED_VALUE"""),"01060 : กองบริหารงานกลาง")</f>
        <v>01060 : กองบริหารงานกลาง</v>
      </c>
      <c r="B40" s="31" t="str">
        <f>IFERROR(__xludf.DUMMYFUNCTION("""COMPUTED_VALUE"""),"กองบริหารงานกลาง")</f>
        <v>กองบริหารงานกลาง</v>
      </c>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row>
    <row r="41">
      <c r="A41" s="31" t="str">
        <f>IFERROR(__xludf.DUMMYFUNCTION("""COMPUTED_VALUE"""),"01065 : กองบริหารงานวิจัย")</f>
        <v>01065 : กองบริหารงานวิจัย</v>
      </c>
      <c r="B41" s="31" t="str">
        <f>IFERROR(__xludf.DUMMYFUNCTION("""COMPUTED_VALUE"""),"กองบริหารงานวิจัย")</f>
        <v>กองบริหารงานวิจัย</v>
      </c>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row>
    <row r="42">
      <c r="A42" s="31" t="str">
        <f>IFERROR(__xludf.DUMMYFUNCTION("""COMPUTED_VALUE"""),"01073 : กองป้องกันและรักษาความปลอดภัย")</f>
        <v>01073 : กองป้องกันและรักษาความปลอดภัย</v>
      </c>
      <c r="B42" s="31" t="str">
        <f>IFERROR(__xludf.DUMMYFUNCTION("""COMPUTED_VALUE"""),"กองป้องกันและรักษาความปลอดภัย")</f>
        <v>กองป้องกันและรักษาความปลอดภัย</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row>
    <row r="43">
      <c r="A43" s="31" t="str">
        <f>IFERROR(__xludf.DUMMYFUNCTION("""COMPUTED_VALUE"""),"01094 : กองพัฒนาคุณภาพการศึกษา")</f>
        <v>01094 : กองพัฒนาคุณภาพการศึกษา</v>
      </c>
      <c r="B43" s="31" t="str">
        <f>IFERROR(__xludf.DUMMYFUNCTION("""COMPUTED_VALUE"""),"กองพัฒนาคุณภาพการศึกษา")</f>
        <v>กองพัฒนาคุณภาพการศึกษา</v>
      </c>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row>
    <row r="44">
      <c r="A44" s="31" t="str">
        <f>IFERROR(__xludf.DUMMYFUNCTION("""COMPUTED_VALUE"""),"01097 : กองพัฒนานักศึกษาและศิษย์เก่าสัมพันธ์")</f>
        <v>01097 : กองพัฒนานักศึกษาและศิษย์เก่าสัมพันธ์</v>
      </c>
      <c r="B44" s="31" t="str">
        <f>IFERROR(__xludf.DUMMYFUNCTION("""COMPUTED_VALUE"""),"กองพัฒนานักศึกษาและศิษย์เก่าสัมพันธ์")</f>
        <v>กองพัฒนานักศึกษาและศิษย์เก่าสัมพันธ์</v>
      </c>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row>
    <row r="45">
      <c r="A45" s="31" t="str">
        <f>IFERROR(__xludf.DUMMYFUNCTION("""COMPUTED_VALUE"""),"01102 : กองยุทธศาสตร์")</f>
        <v>01102 : กองยุทธศาสตร์</v>
      </c>
      <c r="B45" s="31" t="str">
        <f>IFERROR(__xludf.DUMMYFUNCTION("""COMPUTED_VALUE"""),"กองยุทธศาสตร์")</f>
        <v>กองยุทธศาสตร์</v>
      </c>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row>
    <row r="46">
      <c r="A46" s="31" t="str">
        <f>IFERROR(__xludf.DUMMYFUNCTION("""COMPUTED_VALUE"""),"01106 : กองสื่อสารองค์กร")</f>
        <v>01106 : กองสื่อสารองค์กร</v>
      </c>
      <c r="B46" s="31" t="str">
        <f>IFERROR(__xludf.DUMMYFUNCTION("""COMPUTED_VALUE"""),"กองสื่อสารองค์กร")</f>
        <v>กองสื่อสารองค์กร</v>
      </c>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row>
    <row r="47">
      <c r="A47" s="31" t="str">
        <f>IFERROR(__xludf.DUMMYFUNCTION("""COMPUTED_VALUE"""),"01111 : กองอาคารและสถานที่")</f>
        <v>01111 : กองอาคารและสถานที่</v>
      </c>
      <c r="B47" s="31" t="str">
        <f>IFERROR(__xludf.DUMMYFUNCTION("""COMPUTED_VALUE"""),"กองอาคารและสถานที่")</f>
        <v>กองอาคารและสถานที่</v>
      </c>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row>
    <row r="48">
      <c r="A48" s="31" t="str">
        <f>IFERROR(__xludf.DUMMYFUNCTION("""COMPUTED_VALUE"""),"00904 : ฝ่ายการต่างประเทศ")</f>
        <v>00904 : ฝ่ายการต่างประเทศ</v>
      </c>
      <c r="B48" s="31" t="str">
        <f>IFERROR(__xludf.DUMMYFUNCTION("""COMPUTED_VALUE"""),"ฝ่ายการต่างประเทศ")</f>
        <v>ฝ่ายการต่างประเทศ</v>
      </c>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row>
    <row r="49">
      <c r="A49" s="31" t="str">
        <f>IFERROR(__xludf.DUMMYFUNCTION("""COMPUTED_VALUE"""),"00903 : ฝ่ายการศึกษาและดิจิทัล")</f>
        <v>00903 : ฝ่ายการศึกษาและดิจิทัล</v>
      </c>
      <c r="B49" s="31" t="str">
        <f>IFERROR(__xludf.DUMMYFUNCTION("""COMPUTED_VALUE"""),"ฝ่ายการศึกษาและดิจิทัล")</f>
        <v>ฝ่ายการศึกษาและดิจิทัล</v>
      </c>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row>
    <row r="50">
      <c r="A50" s="31" t="str">
        <f>IFERROR(__xludf.DUMMYFUNCTION("""COMPUTED_VALUE"""),"00911 : ฝ่ายกฎหมายและสื่อสารองค์กร")</f>
        <v>00911 : ฝ่ายกฎหมายและสื่อสารองค์กร</v>
      </c>
      <c r="B50" s="31" t="str">
        <f>IFERROR(__xludf.DUMMYFUNCTION("""COMPUTED_VALUE"""),"ฝ่ายกฎหมายและสื่อสารองค์กร")</f>
        <v>ฝ่ายกฎหมายและสื่อสารองค์กร</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row>
    <row r="51">
      <c r="A51" s="31" t="str">
        <f>IFERROR(__xludf.DUMMYFUNCTION("""COMPUTED_VALUE"""),"00906 : ฝ่ายกายภาพและสิ่งแวดล้อม")</f>
        <v>00906 : ฝ่ายกายภาพและสิ่งแวดล้อม</v>
      </c>
      <c r="B51" s="31" t="str">
        <f>IFERROR(__xludf.DUMMYFUNCTION("""COMPUTED_VALUE"""),"ฝ่ายกายภาพและสิ่งแวดล้อม")</f>
        <v>ฝ่ายกายภาพและสิ่งแวดล้อม</v>
      </c>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row>
    <row r="52">
      <c r="A52" s="31" t="str">
        <f>IFERROR(__xludf.DUMMYFUNCTION("""COMPUTED_VALUE"""),"00909 : ฝ่ายทรัพยากรบุคคล")</f>
        <v>00909 : ฝ่ายทรัพยากรบุคคล</v>
      </c>
      <c r="B52" s="31" t="str">
        <f>IFERROR(__xludf.DUMMYFUNCTION("""COMPUTED_VALUE"""),"ฝ่ายทรัพยากรบุคคล")</f>
        <v>ฝ่ายทรัพยากรบุคคล</v>
      </c>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row>
    <row r="53">
      <c r="A53" s="31" t="str">
        <f>IFERROR(__xludf.DUMMYFUNCTION("""COMPUTED_VALUE"""),"00907 : ฝ่ายวิสาหกิจและสังคมยั่งยืน")</f>
        <v>00907 : ฝ่ายวิสาหกิจและสังคมยั่งยืน</v>
      </c>
      <c r="B53" s="31" t="str">
        <f>IFERROR(__xludf.DUMMYFUNCTION("""COMPUTED_VALUE"""),"ฝ่ายวิสาหกิจและสังคมยั่งยืน")</f>
        <v>ฝ่ายวิสาหกิจและสังคมยั่งยืน</v>
      </c>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row>
    <row r="54">
      <c r="A54" s="31" t="str">
        <f>IFERROR(__xludf.DUMMYFUNCTION("""COMPUTED_VALUE"""),"00902 : ฝ่ายบริหาร")</f>
        <v>00902 : ฝ่ายบริหาร</v>
      </c>
      <c r="B54" s="31" t="str">
        <f>IFERROR(__xludf.DUMMYFUNCTION("""COMPUTED_VALUE"""),"ฝ่ายบริหาร")</f>
        <v>ฝ่ายบริหาร</v>
      </c>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row>
    <row r="55">
      <c r="A55" s="31" t="str">
        <f>IFERROR(__xludf.DUMMYFUNCTION("""COMPUTED_VALUE"""),"00910 : ฝ่ายกิจการนักศึกษาและนวัตวณิชย์")</f>
        <v>00910 : ฝ่ายกิจการนักศึกษาและนวัตวณิชย์</v>
      </c>
      <c r="B55" s="31" t="str">
        <f>IFERROR(__xludf.DUMMYFUNCTION("""COMPUTED_VALUE"""),"ฝ่ายกิจการนักศึกษาและนวัตวณิชย์")</f>
        <v>ฝ่ายกิจการนักศึกษาและนวัตวณิชย์</v>
      </c>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row>
    <row r="56">
      <c r="A56" s="31" t="str">
        <f>IFERROR(__xludf.DUMMYFUNCTION("""COMPUTED_VALUE"""),"00905 : ฝ่ายวิจัยและนวัตกรรม")</f>
        <v>00905 : ฝ่ายวิจัยและนวัตกรรม</v>
      </c>
      <c r="B56" s="31" t="str">
        <f>IFERROR(__xludf.DUMMYFUNCTION("""COMPUTED_VALUE"""),"ฝ่ายวิจัยและนวัตกรรม")</f>
        <v>ฝ่ายวิจัยและนวัตกรรม</v>
      </c>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row>
    <row r="57">
      <c r="A57" s="31" t="str">
        <f>IFERROR(__xludf.DUMMYFUNCTION("""COMPUTED_VALUE"""),"00908 : ฝ่ายศิลปวัฒนธรรมและเศรษฐกิจสร้างสรรค์")</f>
        <v>00908 : ฝ่ายศิลปวัฒนธรรมและเศรษฐกิจสร้างสรรค์</v>
      </c>
      <c r="B57" s="31" t="str">
        <f>IFERROR(__xludf.DUMMYFUNCTION("""COMPUTED_VALUE"""),"ฝ่ายศิลปวัฒนธรรมและเศรษฐกิจสร้างสรรค์")</f>
        <v>ฝ่ายศิลปวัฒนธรรมและเศรษฐกิจสร้างสรรค์</v>
      </c>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row>
    <row r="58">
      <c r="A58" s="31" t="str">
        <f>IFERROR(__xludf.DUMMYFUNCTION("""COMPUTED_VALUE"""),"01228 : โรงงานแบตเตอรี่และพลังงานยุคใหม่")</f>
        <v>01228 : โรงงานแบตเตอรี่และพลังงานยุคใหม่</v>
      </c>
      <c r="B58" s="31" t="str">
        <f>IFERROR(__xludf.DUMMYFUNCTION("""COMPUTED_VALUE"""),"โรงงานแบตเตอรี่และพลังงานยุคใหม่")</f>
        <v>โรงงานแบตเตอรี่และพลังงานยุคใหม่</v>
      </c>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row>
    <row r="59">
      <c r="A59" s="31" t="str">
        <f>IFERROR(__xludf.DUMMYFUNCTION("""COMPUTED_VALUE"""),"01208 : โรงพิมพ์ มหาวิทยาลัยขอนแก่น")</f>
        <v>01208 : โรงพิมพ์ มหาวิทยาลัยขอนแก่น</v>
      </c>
      <c r="B59" s="31" t="str">
        <f>IFERROR(__xludf.DUMMYFUNCTION("""COMPUTED_VALUE"""),"โรงพิมพ์ มหาวิทยาลัยขอนแก่น")</f>
        <v>โรงพิมพ์ มหาวิทยาลัยขอนแก่น</v>
      </c>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row>
    <row r="60">
      <c r="A60" s="31" t="str">
        <f>IFERROR(__xludf.DUMMYFUNCTION("""COMPUTED_VALUE"""),"01178 : ศูนย์จริยธรรมการวิจัยในมนุษย์")</f>
        <v>01178 : ศูนย์จริยธรรมการวิจัยในมนุษย์</v>
      </c>
      <c r="B60" s="31" t="str">
        <f>IFERROR(__xludf.DUMMYFUNCTION("""COMPUTED_VALUE"""),"ศูนย์จริยธรรมการวิจัยในมนุษย์")</f>
        <v>ศูนย์จริยธรรมการวิจัยในมนุษย์</v>
      </c>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row>
    <row r="61">
      <c r="A61" s="31" t="str">
        <f>IFERROR(__xludf.DUMMYFUNCTION("""COMPUTED_VALUE"""),"01239 : ศูนย์เซลล์บำบัดรักษา สำนักงานอธิการบดี")</f>
        <v>01239 : ศูนย์เซลล์บำบัดรักษา สำนักงานอธิการบดี</v>
      </c>
      <c r="B61" s="31" t="str">
        <f>IFERROR(__xludf.DUMMYFUNCTION("""COMPUTED_VALUE"""),"ศูนย์เซลล์บำบัดรักษา สำนักงานอธิการบดี")</f>
        <v>ศูนย์เซลล์บำบัดรักษา สำนักงานอธิการบดี</v>
      </c>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row>
    <row r="62">
      <c r="A62" s="31" t="str">
        <f>IFERROR(__xludf.DUMMYFUNCTION("""COMPUTED_VALUE"""),"01167 : ศูนย์ทรัพย์สินทางปัญญา")</f>
        <v>01167 : ศูนย์ทรัพย์สินทางปัญญา</v>
      </c>
      <c r="B62" s="31" t="str">
        <f>IFERROR(__xludf.DUMMYFUNCTION("""COMPUTED_VALUE"""),"ศูนย์ทรัพย์สินทางปัญญา")</f>
        <v>ศูนย์ทรัพย์สินทางปัญญา</v>
      </c>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row>
    <row r="63">
      <c r="A63" s="31" t="str">
        <f>IFERROR(__xludf.DUMMYFUNCTION("""COMPUTED_VALUE"""),"01171 : ศูนย์นวัตกรรมการเรียนการสอน")</f>
        <v>01171 : ศูนย์นวัตกรรมการเรียนการสอน</v>
      </c>
      <c r="B63" s="31" t="str">
        <f>IFERROR(__xludf.DUMMYFUNCTION("""COMPUTED_VALUE"""),"ศูนย์นวัตกรรมการเรียนการสอน")</f>
        <v>ศูนย์นวัตกรรมการเรียนการสอน</v>
      </c>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row>
    <row r="64">
      <c r="A64" s="31" t="str">
        <f>IFERROR(__xludf.DUMMYFUNCTION("""COMPUTED_VALUE"""),"01216 : ศูนย์บริการสู่ชุมชน")</f>
        <v>01216 : ศูนย์บริการสู่ชุมชน</v>
      </c>
      <c r="B64" s="31" t="str">
        <f>IFERROR(__xludf.DUMMYFUNCTION("""COMPUTED_VALUE"""),"ศูนย์บริการสู่ชุมชน")</f>
        <v>ศูนย์บริการสู่ชุมชน</v>
      </c>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row>
    <row r="65">
      <c r="A65" s="31" t="str">
        <f>IFERROR(__xludf.DUMMYFUNCTION("""COMPUTED_VALUE"""),"01215 : ศูนย์บริหารจัดการด้านโรงแรม")</f>
        <v>01215 : ศูนย์บริหารจัดการด้านโรงแรม</v>
      </c>
      <c r="B65" s="31" t="str">
        <f>IFERROR(__xludf.DUMMYFUNCTION("""COMPUTED_VALUE"""),"ศูนย์บริหารจัดการด้านโรงแรม")</f>
        <v>ศูนย์บริหารจัดการด้านโรงแรม</v>
      </c>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row>
    <row r="66">
      <c r="A66" s="31" t="str">
        <f>IFERROR(__xludf.DUMMYFUNCTION("""COMPUTED_VALUE"""),"01175 : ศูนย์บริหารจัดการทรัพย์สิน มหาวิทยาลัยขอนแก่น")</f>
        <v>01175 : ศูนย์บริหารจัดการทรัพย์สิน มหาวิทยาลัยขอนแก่น</v>
      </c>
      <c r="B66" s="31" t="str">
        <f>IFERROR(__xludf.DUMMYFUNCTION("""COMPUTED_VALUE"""),"ศูนย์บริหารจัดการทรัพย์สิน มหาวิทยาลัยขอนแก่น")</f>
        <v>ศูนย์บริหารจัดการทรัพย์สิน มหาวิทยาลัยขอนแก่น</v>
      </c>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row>
    <row r="67">
      <c r="A67" s="31" t="str">
        <f>IFERROR(__xludf.DUMMYFUNCTION("""COMPUTED_VALUE"""),"01181 : ศูนย์ประสานงานโครงการอันเนื่องมาจากพระราชดำริ")</f>
        <v>01181 : ศูนย์ประสานงานโครงการอันเนื่องมาจากพระราชดำริ</v>
      </c>
      <c r="B67" s="31" t="str">
        <f>IFERROR(__xludf.DUMMYFUNCTION("""COMPUTED_VALUE"""),"ศูนย์ประสานงานโครงการอันเนื่องมาจากพระราชดำริ")</f>
        <v>ศูนย์ประสานงานโครงการอันเนื่องมาจากพระราชดำริ</v>
      </c>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row>
    <row r="68">
      <c r="A68" s="31" t="str">
        <f>IFERROR(__xludf.DUMMYFUNCTION("""COMPUTED_VALUE"""),"01238 : ศูนย์ปลูกและสกัดกัญชง-กัญชา มหาวิทยาลัยขอนแก่น")</f>
        <v>01238 : ศูนย์ปลูกและสกัดกัญชง-กัญชา มหาวิทยาลัยขอนแก่น</v>
      </c>
      <c r="B68" s="31" t="str">
        <f>IFERROR(__xludf.DUMMYFUNCTION("""COMPUTED_VALUE"""),"ศูนย์ปลูกและสกัดกัญชง-กัญชา มหาวิทยาลัยขอนแก่น")</f>
        <v>ศูนย์ปลูกและสกัดกัญชง-กัญชา มหาวิทยาลัยขอนแก่น</v>
      </c>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row>
    <row r="69">
      <c r="A69" s="31" t="str">
        <f>IFERROR(__xludf.DUMMYFUNCTION("""COMPUTED_VALUE"""),"01194 : ศูนย์พิพิธภัณฑ์และแหล่งเรียนรู้ตลอดชีวิต")</f>
        <v>01194 : ศูนย์พิพิธภัณฑ์และแหล่งเรียนรู้ตลอดชีวิต</v>
      </c>
      <c r="B69" s="31" t="str">
        <f>IFERROR(__xludf.DUMMYFUNCTION("""COMPUTED_VALUE"""),"ศูนย์พิพิธภัณฑ์และแหล่งเรียนรู้ตลอดชีวิต")</f>
        <v>ศูนย์พิพิธภัณฑ์และแหล่งเรียนรู้ตลอดชีวิต</v>
      </c>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row>
    <row r="70">
      <c r="A70" s="31" t="str">
        <f>IFERROR(__xludf.DUMMYFUNCTION("""COMPUTED_VALUE"""),"01185 : ศูนย์ศิลปวัฒนธรรม")</f>
        <v>01185 : ศูนย์ศิลปวัฒนธรรม</v>
      </c>
      <c r="B70" s="31" t="str">
        <f>IFERROR(__xludf.DUMMYFUNCTION("""COMPUTED_VALUE"""),"ศูนย์ศิลปวัฒนธรรม")</f>
        <v>ศูนย์ศิลปวัฒนธรรม</v>
      </c>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row>
    <row r="71">
      <c r="A71" s="31" t="str">
        <f>IFERROR(__xludf.DUMMYFUNCTION("""COMPUTED_VALUE"""),"01189 : ศูนย์สัตว์ทดลองภาคตะวันออกเฉียงเหนือ")</f>
        <v>01189 : ศูนย์สัตว์ทดลองภาคตะวันออกเฉียงเหนือ</v>
      </c>
      <c r="B71" s="31" t="str">
        <f>IFERROR(__xludf.DUMMYFUNCTION("""COMPUTED_VALUE"""),"ศูนย์สัตว์ทดลองภาคตะวันออกเฉียงเหนือ")</f>
        <v>ศูนย์สัตว์ทดลองภาคตะวันออกเฉียงเหนือ</v>
      </c>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row>
    <row r="72">
      <c r="A72" s="31" t="str">
        <f>IFERROR(__xludf.DUMMYFUNCTION("""COMPUTED_VALUE"""),"01220 : ศูนย์สื่อการเรียนรู้")</f>
        <v>01220 : ศูนย์สื่อการเรียนรู้</v>
      </c>
      <c r="B72" s="31" t="str">
        <f>IFERROR(__xludf.DUMMYFUNCTION("""COMPUTED_VALUE"""),"ศูนย์สื่อการเรียนรู้")</f>
        <v>ศูนย์สื่อการเรียนรู้</v>
      </c>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row>
    <row r="73">
      <c r="A73" s="31" t="str">
        <f>IFERROR(__xludf.DUMMYFUNCTION("""COMPUTED_VALUE"""),"01193 : ศูนย์อาเซียนศึกษา")</f>
        <v>01193 : ศูนย์อาเซียนศึกษา</v>
      </c>
      <c r="B73" s="31" t="str">
        <f>IFERROR(__xludf.DUMMYFUNCTION("""COMPUTED_VALUE"""),"ศูนย์อาเซียนศึกษา")</f>
        <v>ศูนย์อาเซียนศึกษา</v>
      </c>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row>
    <row r="74">
      <c r="A74" s="31" t="str">
        <f>IFERROR(__xludf.DUMMYFUNCTION("""COMPUTED_VALUE"""),"01128 : สถาบันการสอนวิชาศึกษาทั่วไป")</f>
        <v>01128 : สถาบันการสอนวิชาศึกษาทั่วไป</v>
      </c>
      <c r="B74" s="31" t="str">
        <f>IFERROR(__xludf.DUMMYFUNCTION("""COMPUTED_VALUE"""),"สถาบันการสอนวิชาศึกษาทั่วไป")</f>
        <v>สถาบันการสอนวิชาศึกษาทั่วไป</v>
      </c>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row>
    <row r="75">
      <c r="A75" s="31" t="str">
        <f>IFERROR(__xludf.DUMMYFUNCTION("""COMPUTED_VALUE"""),"01131 : สถาบันขงจื่อ")</f>
        <v>01131 : สถาบันขงจื่อ</v>
      </c>
      <c r="B75" s="31" t="str">
        <f>IFERROR(__xludf.DUMMYFUNCTION("""COMPUTED_VALUE"""),"สถาบันขงจื่อ")</f>
        <v>สถาบันขงจื่อ</v>
      </c>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row>
    <row r="76">
      <c r="A76" s="31" t="str">
        <f>IFERROR(__xludf.DUMMYFUNCTION("""COMPUTED_VALUE"""),"01205 : สถาบันเคเคยูอะคาเดมี่ (KKU Academy)")</f>
        <v>01205 : สถาบันเคเคยูอะคาเดมี่ (KKU Academy)</v>
      </c>
      <c r="B76" s="31" t="str">
        <f>IFERROR(__xludf.DUMMYFUNCTION("""COMPUTED_VALUE"""),"สถาบันเคเคยูอะคาเดมี่ (KKU Academy)")</f>
        <v>สถาบันเคเคยูอะคาเดมี่ (KKU Academy)</v>
      </c>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row>
    <row r="77">
      <c r="A77" s="31" t="str">
        <f>IFERROR(__xludf.DUMMYFUNCTION("""COMPUTED_VALUE"""),"01135 : สถาบันภาษา")</f>
        <v>01135 : สถาบันภาษา</v>
      </c>
      <c r="B77" s="31" t="str">
        <f>IFERROR(__xludf.DUMMYFUNCTION("""COMPUTED_VALUE"""),"สถาบันภาษา")</f>
        <v>สถาบันภาษา</v>
      </c>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row>
    <row r="78">
      <c r="A78" s="31" t="str">
        <f>IFERROR(__xludf.DUMMYFUNCTION("""COMPUTED_VALUE"""),"01138 : สถาบันวิจัยความมั่นคงด้านอาหาร พลังงาน น้ำ อนุภูมิภาคลุ่มน้ำโขง")</f>
        <v>01138 : สถาบันวิจัยความมั่นคงด้านอาหาร พลังงาน น้ำ อนุภูมิภาคลุ่มน้ำโขง</v>
      </c>
      <c r="B78" s="31" t="str">
        <f>IFERROR(__xludf.DUMMYFUNCTION("""COMPUTED_VALUE"""),"สถาบันวิจัยความมั่นคงด้านอาหาร พลังงาน น้ำ อนุภูมิภาคลุ่มน้ำโขง")</f>
        <v>สถาบันวิจัยความมั่นคงด้านอาหาร พลังงาน น้ำ อนุภูมิภาคลุ่มน้ำโขง</v>
      </c>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row>
    <row r="79">
      <c r="A79" s="31" t="str">
        <f>IFERROR(__xludf.DUMMYFUNCTION("""COMPUTED_VALUE"""),"01203 : สถาบันวิจัยแคนนาบิสครบศาสตร์ มหาวิทยาลัยขอนแก่น")</f>
        <v>01203 : สถาบันวิจัยแคนนาบิสครบศาสตร์ มหาวิทยาลัยขอนแก่น</v>
      </c>
      <c r="B79" s="31" t="str">
        <f>IFERROR(__xludf.DUMMYFUNCTION("""COMPUTED_VALUE"""),"สถาบันวิจัยแคนนาบิสครบศาสตร์ มหาวิทยาลัยขอนแก่น")</f>
        <v>สถาบันวิจัยแคนนาบิสครบศาสตร์ มหาวิทยาลัยขอนแก่น</v>
      </c>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row>
    <row r="80">
      <c r="A80" s="31" t="str">
        <f>IFERROR(__xludf.DUMMYFUNCTION("""COMPUTED_VALUE"""),"01200 : สถาบันวิจัยเพื่อพัฒนาสมรรถนะมนุษย์และการสร้างเสริมสุขภาพ")</f>
        <v>01200 : สถาบันวิจัยเพื่อพัฒนาสมรรถนะมนุษย์และการสร้างเสริมสุขภาพ</v>
      </c>
      <c r="B80" s="31" t="str">
        <f>IFERROR(__xludf.DUMMYFUNCTION("""COMPUTED_VALUE"""),"สถาบันวิจัยเพื่อพัฒนาสมรรถนะมนุษย์และการสร้างเสริมสุขภาพ")</f>
        <v>สถาบันวิจัยเพื่อพัฒนาสมรรถนะมนุษย์และการสร้างเสริมสุขภาพ</v>
      </c>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row>
    <row r="81">
      <c r="A81" s="31" t="str">
        <f>IFERROR(__xludf.DUMMYFUNCTION("""COMPUTED_VALUE"""),"01139 : สถาบันวิจัยเพื่อพัฒนาสังคม")</f>
        <v>01139 : สถาบันวิจัยเพื่อพัฒนาสังคม</v>
      </c>
      <c r="B81" s="31" t="str">
        <f>IFERROR(__xludf.DUMMYFUNCTION("""COMPUTED_VALUE"""),"สถาบันวิจัยเพื่อพัฒนาสังคม")</f>
        <v>สถาบันวิจัยเพื่อพัฒนาสังคม</v>
      </c>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row>
    <row r="82">
      <c r="A82" s="31" t="str">
        <f>IFERROR(__xludf.DUMMYFUNCTION("""COMPUTED_VALUE"""),"01144 : สถาบันวิจัยมะเร็งท่อน้ำดี")</f>
        <v>01144 : สถาบันวิจัยมะเร็งท่อน้ำดี</v>
      </c>
      <c r="B82" s="31" t="str">
        <f>IFERROR(__xludf.DUMMYFUNCTION("""COMPUTED_VALUE"""),"สถาบันวิจัยมะเร็งท่อน้ำดี")</f>
        <v>สถาบันวิจัยมะเร็งท่อน้ำดี</v>
      </c>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row>
    <row r="83">
      <c r="A83" s="31" t="str">
        <f>IFERROR(__xludf.DUMMYFUNCTION("""COMPUTED_VALUE"""),"01148 : สถาบันวิจัยยุทธศาสตร์และประสานความร่วมมือเพื่อพัฒนาภาคตะวันออกเฉียงเหนือ")</f>
        <v>01148 : สถาบันวิจัยยุทธศาสตร์และประสานความร่วมมือเพื่อพัฒนาภาคตะวันออกเฉียงเหนือ</v>
      </c>
      <c r="B83" s="31" t="str">
        <f>IFERROR(__xludf.DUMMYFUNCTION("""COMPUTED_VALUE"""),"สถาบันวิจัยยุทธศาสตร์และประสานความร่วมมือเพื่อพัฒนาภาคตะวันออกเฉียงเหนือ")</f>
        <v>สถาบันวิจัยยุทธศาสตร์และประสานความร่วมมือเพื่อพัฒนาภาคตะวันออกเฉียงเหนือ</v>
      </c>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row>
    <row r="84">
      <c r="A84" s="31" t="str">
        <f>IFERROR(__xludf.DUMMYFUNCTION("""COMPUTED_VALUE"""),"01202 : สถาบันวิจัยและนวัตกรรมวัสดุนาโนเพื่อพลังงาน")</f>
        <v>01202 : สถาบันวิจัยและนวัตกรรมวัสดุนาโนเพื่อพลังงาน</v>
      </c>
      <c r="B84" s="31" t="str">
        <f>IFERROR(__xludf.DUMMYFUNCTION("""COMPUTED_VALUE"""),"สถาบันวิจัยและนวัตกรรมวัสดุนาโนเพื่อพลังงาน")</f>
        <v>สถาบันวิจัยและนวัตกรรมวัสดุนาโนเพื่อพลังงาน</v>
      </c>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row>
    <row r="85">
      <c r="A85" s="31" t="str">
        <f>IFERROR(__xludf.DUMMYFUNCTION("""COMPUTED_VALUE"""),"01201 : สถาบันวิจัยและบริการด้านออทิซึม")</f>
        <v>01201 : สถาบันวิจัยและบริการด้านออทิซึม</v>
      </c>
      <c r="B85" s="31" t="str">
        <f>IFERROR(__xludf.DUMMYFUNCTION("""COMPUTED_VALUE"""),"สถาบันวิจัยและบริการด้านออทิซึม")</f>
        <v>สถาบันวิจัยและบริการด้านออทิซึม</v>
      </c>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row>
    <row r="86">
      <c r="A86" s="31" t="str">
        <f>IFERROR(__xludf.DUMMYFUNCTION("""COMPUTED_VALUE"""),"01162 : สถาบันวิจัยและพัฒนาวิชาชีพครูสำหรับอาเซียน มหาวิทยาลัยขอนแก่น")</f>
        <v>01162 : สถาบันวิจัยและพัฒนาวิชาชีพครูสำหรับอาเซียน มหาวิทยาลัยขอนแก่น</v>
      </c>
      <c r="B86" s="31" t="str">
        <f>IFERROR(__xludf.DUMMYFUNCTION("""COMPUTED_VALUE"""),"สถาบันวิจัยและพัฒนาวิชาชีพครูสำหรับอาเซียน มหาวิทยาลัยขอนแก่น")</f>
        <v>สถาบันวิจัยและพัฒนาวิชาชีพครูสำหรับอาเซียน มหาวิทยาลัยขอนแก่น</v>
      </c>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row>
    <row r="87">
      <c r="A87" s="31" t="str">
        <f>IFERROR(__xludf.DUMMYFUNCTION("""COMPUTED_VALUE"""),"01166 : สถาบันวิจัยวิทยาศาสตร์สุขภาพลุ่มน้ำโขง")</f>
        <v>01166 : สถาบันวิจัยวิทยาศาสตร์สุขภาพลุ่มน้ำโขง</v>
      </c>
      <c r="B87" s="31" t="str">
        <f>IFERROR(__xludf.DUMMYFUNCTION("""COMPUTED_VALUE"""),"สถาบันวิจัยวิทยาศาสตร์สุขภาพลุ่มน้ำโขง")</f>
        <v>สถาบันวิจัยวิทยาศาสตร์สุขภาพลุ่มน้ำโขง</v>
      </c>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row>
    <row r="88">
      <c r="A88" s="31" t="str">
        <f>IFERROR(__xludf.DUMMYFUNCTION("""COMPUTED_VALUE"""),"01224 : อุทยานวิทยาศาสตร์")</f>
        <v>01224 : อุทยานวิทยาศาสตร์</v>
      </c>
      <c r="B88" s="31" t="str">
        <f>IFERROR(__xludf.DUMMYFUNCTION("""COMPUTED_VALUE"""),"อุทยานวิทยาศาสตร์")</f>
        <v>อุทยานวิทยาศาสตร์</v>
      </c>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row>
    <row r="89">
      <c r="A89" s="31" t="str">
        <f>IFERROR(__xludf.DUMMYFUNCTION("""COMPUTED_VALUE"""),"17000 : สำนักเทคโนโลยีดิจิทัล")</f>
        <v>17000 : สำนักเทคโนโลยีดิจิทัล</v>
      </c>
      <c r="B89" s="31" t="str">
        <f>IFERROR(__xludf.DUMMYFUNCTION("""COMPUTED_VALUE"""),"สำนักเทคโนโลยีดิจิทัล")</f>
        <v>สำนักเทคโนโลยีดิจิทัล</v>
      </c>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row>
    <row r="90">
      <c r="A90" s="31" t="str">
        <f>IFERROR(__xludf.DUMMYFUNCTION("""COMPUTED_VALUE"""),"20000 : สำนักบริการวิชาการ")</f>
        <v>20000 : สำนักบริการวิชาการ</v>
      </c>
      <c r="B90" s="31" t="str">
        <f>IFERROR(__xludf.DUMMYFUNCTION("""COMPUTED_VALUE"""),"สำนักบริการวิชาการ")</f>
        <v>สำนักบริการวิชาการ</v>
      </c>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row>
    <row r="91">
      <c r="A91" s="31" t="str">
        <f>IFERROR(__xludf.DUMMYFUNCTION("""COMPUTED_VALUE"""),"23000 : สำนักบริหารและพัฒนาวิชาการ")</f>
        <v>23000 : สำนักบริหารและพัฒนาวิชาการ</v>
      </c>
      <c r="B91" s="31" t="str">
        <f>IFERROR(__xludf.DUMMYFUNCTION("""COMPUTED_VALUE"""),"สำนักบริหารและพัฒนาวิชาการ")</f>
        <v>สำนักบริหารและพัฒนาวิชาการ</v>
      </c>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c r="A92" s="31" t="str">
        <f>IFERROR(__xludf.DUMMYFUNCTION("""COMPUTED_VALUE"""),"12000 : สำนักหอสมุด")</f>
        <v>12000 : สำนักหอสมุด</v>
      </c>
      <c r="B92" s="31" t="str">
        <f>IFERROR(__xludf.DUMMYFUNCTION("""COMPUTED_VALUE"""),"สำนักหอสมุด")</f>
        <v>สำนักหอสมุด</v>
      </c>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c r="A93" s="31" t="str">
        <f>IFERROR(__xludf.DUMMYFUNCTION("""COMPUTED_VALUE"""),"00901 : อธิการบดี")</f>
        <v>00901 : อธิการบดี</v>
      </c>
      <c r="B93" s="31" t="str">
        <f>IFERROR(__xludf.DUMMYFUNCTION("""COMPUTED_VALUE"""),"อธิการบดี")</f>
        <v>อธิการบดี</v>
      </c>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row>
    <row r="94">
      <c r="A94" s="31" t="str">
        <f>IFERROR(__xludf.DUMMYFUNCTION("""COMPUTED_VALUE"""),"01206 : ศูนย์บริหารเวลเนสและเขตนวัตกรรมทางการแพทย์ มหาวิทยาลัยขอนแก่น")</f>
        <v>01206 : ศูนย์บริหารเวลเนสและเขตนวัตกรรมทางการแพทย์ มหาวิทยาลัยขอนแก่น</v>
      </c>
      <c r="B94" s="31" t="str">
        <f>IFERROR(__xludf.DUMMYFUNCTION("""COMPUTED_VALUE"""),"ศูนย์บริหารเวลเนสและเขตนวัตกรรมทางการแพทย์ มหาวิทยาลัยขอนแก่น")</f>
        <v>ศูนย์บริหารเวลเนสและเขตนวัตกรรมทางการแพทย์ มหาวิทยาลัยขอนแก่น</v>
      </c>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row>
    <row r="95">
      <c r="A95" s="31" t="str">
        <f>IFERROR(__xludf.DUMMYFUNCTION("""COMPUTED_VALUE"""),"01204 : ศูนย์ส่งเสริมวิสาหกิจและสังคมยั่งยืน")</f>
        <v>01204 : ศูนย์ส่งเสริมวิสาหกิจและสังคมยั่งยืน</v>
      </c>
      <c r="B95" s="31" t="str">
        <f>IFERROR(__xludf.DUMMYFUNCTION("""COMPUTED_VALUE"""),"ศูนย์ส่งเสริมวิสาหกิจและสังคมยั่งยืน")</f>
        <v>ศูนย์ส่งเสริมวิสาหกิจและสังคมยั่งยืน</v>
      </c>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row>
    <row r="96">
      <c r="A96" s="31" t="str">
        <f>IFERROR(__xludf.DUMMYFUNCTION("""COMPUTED_VALUE"""),"01242 : ศูนย์กำกับดูแลการดำเนินการต่อสัตว์เพื่องานทางวิทยาศาสตร์ มหาวิทยาลัยขอนแก่น")</f>
        <v>01242 : ศูนย์กำกับดูแลการดำเนินการต่อสัตว์เพื่องานทางวิทยาศาสตร์ มหาวิทยาลัยขอนแก่น</v>
      </c>
      <c r="B96" s="31" t="str">
        <f>IFERROR(__xludf.DUMMYFUNCTION("""COMPUTED_VALUE"""),"ศูนย์กำกับดูแลการดำเนินการต่อสัตว์เพื่องานทางวิทยาศาสตร์ มหาวิทยาลัยขอนแก่น")</f>
        <v>ศูนย์กำกับดูแลการดำเนินการต่อสัตว์เพื่องานทางวิทยาศาสตร์ มหาวิทยาลัยขอนแก่น</v>
      </c>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row>
    <row r="97">
      <c r="A97" s="31" t="str">
        <f>IFERROR(__xludf.DUMMYFUNCTION("""COMPUTED_VALUE"""),"01241 : ศูนย์เคเคยู เอนเตอร์ไพรส์")</f>
        <v>01241 : ศูนย์เคเคยู เอนเตอร์ไพรส์</v>
      </c>
      <c r="B97" s="31" t="str">
        <f>IFERROR(__xludf.DUMMYFUNCTION("""COMPUTED_VALUE"""),"ศูนย์เคเคยู เอนเตอร์ไพรส์")</f>
        <v>ศูนย์เคเคยู เอนเตอร์ไพรส์</v>
      </c>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row>
    <row r="98">
      <c r="A98" s="31" t="str">
        <f>IFERROR(__xludf.DUMMYFUNCTION("""COMPUTED_VALUE"""),"01240 : ศูนย์จัดการระบบสารสนเทศเพื่อการบริหารทั่วทั้งองค์กร (ERP : Enterprise Resource Planning)")</f>
        <v>01240 : ศูนย์จัดการระบบสารสนเทศเพื่อการบริหารทั่วทั้งองค์กร (ERP : Enterprise Resource Planning)</v>
      </c>
      <c r="B98" s="31" t="str">
        <f>IFERROR(__xludf.DUMMYFUNCTION("""COMPUTED_VALUE"""),"ศูนย์จัดการระบบสารสนเทศเพื่อการบริหารทั่วทั้งองค์กร (ERP : Enterprise Resource Planning)")</f>
        <v>ศูนย์จัดการระบบสารสนเทศเพื่อการบริหารทั่วทั้งองค์กร (ERP : Enterprise Resource Planning)</v>
      </c>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row>
    <row r="99">
      <c r="A99" s="31" t="str">
        <f>IFERROR(__xludf.DUMMYFUNCTION("""COMPUTED_VALUE"""),"01243 : สถาบันฟีโนมแห่งชาติ มหาวิทยาลัยขอนแก่น")</f>
        <v>01243 : สถาบันฟีโนมแห่งชาติ มหาวิทยาลัยขอนแก่น</v>
      </c>
      <c r="B99" s="31" t="str">
        <f>IFERROR(__xludf.DUMMYFUNCTION("""COMPUTED_VALUE"""),"สถาบันฟีโนมแห่งชาติ มหาวิทยาลัยขอนแก่น")</f>
        <v>สถาบันฟีโนมแห่งชาติ มหาวิทยาลัยขอนแก่น</v>
      </c>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row>
    <row r="100">
      <c r="A100" s="31" t="str">
        <f>IFERROR(__xludf.DUMMYFUNCTION("""COMPUTED_VALUE"""),"02027 : ศูนย์บริการวิทยาศาสตร์และนวัตกรรม")</f>
        <v>02027 : ศูนย์บริการวิทยาศาสตร์และนวัตกรรม</v>
      </c>
      <c r="B100" s="31" t="str">
        <f>IFERROR(__xludf.DUMMYFUNCTION("""COMPUTED_VALUE"""),"ศูนย์บริการวิทยาศาสตร์และนวัตกรรม")</f>
        <v>ศูนย์บริการวิทยาศาสตร์และนวัตกรรม</v>
      </c>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row>
    <row r="101">
      <c r="A101" s="31" t="str">
        <f>IFERROR(__xludf.DUMMYFUNCTION("""COMPUTED_VALUE"""),"03044 : ศูนย์ธุรกิจเกษตร")</f>
        <v>03044 : ศูนย์ธุรกิจเกษตร</v>
      </c>
      <c r="B101" s="31" t="str">
        <f>IFERROR(__xludf.DUMMYFUNCTION("""COMPUTED_VALUE"""),"ศูนย์ธุรกิจเกษตร")</f>
        <v>ศูนย์ธุรกิจเกษตร</v>
      </c>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row>
    <row r="102">
      <c r="A102" s="31" t="str">
        <f>IFERROR(__xludf.DUMMYFUNCTION("""COMPUTED_VALUE"""),"04044 : สถานจัดการและอนุรักษ์พลังงาน")</f>
        <v>04044 : สถานจัดการและอนุรักษ์พลังงาน</v>
      </c>
      <c r="B102" s="31" t="str">
        <f>IFERROR(__xludf.DUMMYFUNCTION("""COMPUTED_VALUE"""),"สถานจัดการและอนุรักษ์พลังงาน")</f>
        <v>สถานจัดการและอนุรักษ์พลังงาน</v>
      </c>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row>
    <row r="103">
      <c r="A103" s="31" t="str">
        <f>IFERROR(__xludf.DUMMYFUNCTION("""COMPUTED_VALUE"""),"04045 : ศูนย์นวัตกรรมและบริการวิศวกรรม")</f>
        <v>04045 : ศูนย์นวัตกรรมและบริการวิศวกรรม</v>
      </c>
      <c r="B103" s="31" t="str">
        <f>IFERROR(__xludf.DUMMYFUNCTION("""COMPUTED_VALUE"""),"ศูนย์นวัตกรรมและบริการวิศวกรรม")</f>
        <v>ศูนย์นวัตกรรมและบริการวิศวกรรม</v>
      </c>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row>
    <row r="104">
      <c r="A104" s="31" t="str">
        <f>IFERROR(__xludf.DUMMYFUNCTION("""COMPUTED_VALUE"""),"07060 : โรงพยาบาลศรีนครินทร์")</f>
        <v>07060 : โรงพยาบาลศรีนครินทร์</v>
      </c>
      <c r="B104" s="31" t="str">
        <f>IFERROR(__xludf.DUMMYFUNCTION("""COMPUTED_VALUE"""),"โรงพยาบาลศรีนครินทร์")</f>
        <v>โรงพยาบาลศรีนครินทร์</v>
      </c>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row>
    <row r="105">
      <c r="A105" s="31" t="str">
        <f>IFERROR(__xludf.DUMMYFUNCTION("""COMPUTED_VALUE"""),"07382 : สถานบริหารจัดการงานวิจัยคลินิกมหาวิทยาลัยขอนแก่น")</f>
        <v>07382 : สถานบริหารจัดการงานวิจัยคลินิกมหาวิทยาลัยขอนแก่น</v>
      </c>
      <c r="B105" s="31" t="str">
        <f>IFERROR(__xludf.DUMMYFUNCTION("""COMPUTED_VALUE"""),"สถานบริหารจัดการงานวิจัยคลินิกมหาวิทยาลัยขอนแก่น")</f>
        <v>สถานบริหารจัดการงานวิจัยคลินิกมหาวิทยาลัยขอนแก่น</v>
      </c>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row>
    <row r="106">
      <c r="A106" s="31" t="str">
        <f>IFERROR(__xludf.DUMMYFUNCTION("""COMPUTED_VALUE"""),"09010 : สถานบริการสุขภาพเทคนิคการแพทย์และกายภาพบำบัด")</f>
        <v>09010 : สถานบริการสุขภาพเทคนิคการแพทย์และกายภาพบำบัด</v>
      </c>
      <c r="B106" s="31" t="str">
        <f>IFERROR(__xludf.DUMMYFUNCTION("""COMPUTED_VALUE"""),"สถานบริการสุขภาพเทคนิคการแพทย์และกายภาพบำบัด")</f>
        <v>สถานบริการสุขภาพเทคนิคการแพทย์และกายภาพบำบัด</v>
      </c>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row>
    <row r="107">
      <c r="A107" s="31" t="str">
        <f>IFERROR(__xludf.DUMMYFUNCTION("""COMPUTED_VALUE"""),"13026 : โรงพยาบาลทันตกรรม")</f>
        <v>13026 : โรงพยาบาลทันตกรรม</v>
      </c>
      <c r="B107" s="31" t="str">
        <f>IFERROR(__xludf.DUMMYFUNCTION("""COMPUTED_VALUE"""),"โรงพยาบาลทันตกรรม")</f>
        <v>โรงพยาบาลทันตกรรม</v>
      </c>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row>
    <row r="108">
      <c r="A108" s="31" t="str">
        <f>IFERROR(__xludf.DUMMYFUNCTION("""COMPUTED_VALUE"""),"18021 : โรงพยาบาลสัตว์")</f>
        <v>18021 : โรงพยาบาลสัตว์</v>
      </c>
      <c r="B108" s="31" t="str">
        <f>IFERROR(__xludf.DUMMYFUNCTION("""COMPUTED_VALUE"""),"โรงพยาบาลสัตว์")</f>
        <v>โรงพยาบาลสัตว์</v>
      </c>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row>
    <row r="109">
      <c r="A109" s="31" t="str">
        <f>IFERROR(__xludf.DUMMYFUNCTION("""COMPUTED_VALUE"""),"28009 : โรงเรียนสาธิตมหาวิทยาลัยขอนแก่น วิทยาเขตหนองคาย")</f>
        <v>28009 : โรงเรียนสาธิตมหาวิทยาลัยขอนแก่น วิทยาเขตหนองคาย</v>
      </c>
      <c r="B109" s="31" t="str">
        <f>IFERROR(__xludf.DUMMYFUNCTION("""COMPUTED_VALUE"""),"โรงเรียนสาธิตมหาวิทยาลัยขอนแก่น วิทยาเขตหนองคาย")</f>
        <v>โรงเรียนสาธิตมหาวิทยาลัยขอนแก่น วิทยาเขตหนองคาย</v>
      </c>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row>
    <row r="110">
      <c r="A110" s="31" t="str">
        <f>IFERROR(__xludf.DUMMYFUNCTION("""COMPUTED_VALUE"""),"28011 : พิพิธภัณฑ์สัตว์น้ำจังหวัดหนองคาย")</f>
        <v>28011 : พิพิธภัณฑ์สัตว์น้ำจังหวัดหนองคาย</v>
      </c>
      <c r="B110" s="31" t="str">
        <f>IFERROR(__xludf.DUMMYFUNCTION("""COMPUTED_VALUE"""),"พิพิธภัณฑ์สัตว์น้ำจังหวัดหนองคาย")</f>
        <v>พิพิธภัณฑ์สัตว์น้ำจังหวัดหนองคาย</v>
      </c>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row>
    <row r="111">
      <c r="A111" s="31" t="str">
        <f>IFERROR(__xludf.DUMMYFUNCTION("""COMPUTED_VALUE"""),"00912 : โครงการจัดตั้งห้องเรียนวิทยาลัยในโรงเรียนโดยกำกับดูแลของมหาวิทยาลัย (สำนักงานอธิการบดี)")</f>
        <v>00912 : โครงการจัดตั้งห้องเรียนวิทยาลัยในโรงเรียนโดยกำกับดูแลของมหาวิทยาลัย (สำนักงานอธิการบดี)</v>
      </c>
      <c r="B111" s="31" t="str">
        <f>IFERROR(__xludf.DUMMYFUNCTION("""COMPUTED_VALUE"""),"โครงการจัดตั้งห้องเรียนวิทยาลัยในโรงเรียนโดยกำกับดูแลของมหาวิทยาลัย (สำนักงานอธิการบดี)")</f>
        <v>โครงการจัดตั้งห้องเรียนวิทยาลัยในโรงเรียนโดยกำกับดูแลของมหาวิทยาลัย (สำนักงานอธิการบดี)</v>
      </c>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row>
    <row r="112">
      <c r="A112" s="31" t="str">
        <f>IFERROR(__xludf.DUMMYFUNCTION("""COMPUTED_VALUE"""),"009XX : สำนักงาน-ผอ.สำนักงานอธิการบดี")</f>
        <v>009XX : สำนักงาน-ผอ.สำนักงานอธิการบดี</v>
      </c>
      <c r="B112" s="31" t="str">
        <f>IFERROR(__xludf.DUMMYFUNCTION("""COMPUTED_VALUE"""),"สำนักงาน-ผอ.สำนักงานอธิการบดี")</f>
        <v>สำนักงาน-ผอ.สำนักงานอธิการบดี</v>
      </c>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row>
    <row r="113">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row>
    <row r="114">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row>
    <row r="115">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row>
    <row r="116">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row>
    <row r="117">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row>
    <row r="118">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row>
    <row r="119">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row>
    <row r="120">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row>
    <row r="12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row>
    <row r="122">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row>
    <row r="123">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row>
    <row r="124">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row>
    <row r="125">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row>
    <row r="126">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row>
    <row r="127">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row>
    <row r="128">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row>
    <row r="129">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row>
    <row r="130">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row>
    <row r="13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row>
    <row r="132">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row>
    <row r="133">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row>
    <row r="134">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row>
    <row r="135">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row>
    <row r="136">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sheetData>
  <drawing r:id="rId1"/>
</worksheet>
</file>